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ertro\Downloads\"/>
    </mc:Choice>
  </mc:AlternateContent>
  <xr:revisionPtr revIDLastSave="0" documentId="13_ncr:1_{F8A78133-4636-4FA5-AD96-D25C2FB50E40}" xr6:coauthVersionLast="47" xr6:coauthVersionMax="47" xr10:uidLastSave="{00000000-0000-0000-0000-000000000000}"/>
  <bookViews>
    <workbookView xWindow="-120" yWindow="-120" windowWidth="38640" windowHeight="21120" activeTab="6" xr2:uid="{00000000-000D-0000-FFFF-FFFF00000000}"/>
  </bookViews>
  <sheets>
    <sheet name="Citeste-ma" sheetId="1" r:id="rId1"/>
    <sheet name="Sumar" sheetId="2" r:id="rId2"/>
    <sheet name="Upgrades" sheetId="3" r:id="rId3"/>
    <sheet name="Relics" sheetId="4" r:id="rId4"/>
    <sheet name="Kata" sheetId="5" r:id="rId5"/>
    <sheet name="Arena_Omens" sheetId="6" r:id="rId6"/>
    <sheet name="Corruption" sheetId="7" r:id="rId7"/>
  </sheets>
  <definedNames>
    <definedName name="_xlnm._FilterDatabase" localSheetId="5" hidden="1">Arena_Omens!$A$1:$G$11</definedName>
    <definedName name="_xlnm._FilterDatabase" localSheetId="6" hidden="1">Corruption!$A$1:$F$13</definedName>
    <definedName name="_xlnm._FilterDatabase" localSheetId="4" hidden="1">Kata!$A$1:$I$42</definedName>
    <definedName name="_xlnm._FilterDatabase" localSheetId="3" hidden="1">Relics!$A$1:$J$29</definedName>
    <definedName name="_xlnm._FilterDatabase" localSheetId="2" hidden="1">Upgrades!$A$1:$I$68</definedName>
  </definedNames>
  <calcPr calcId="191029"/>
</workbook>
</file>

<file path=xl/calcChain.xml><?xml version="1.0" encoding="utf-8"?>
<calcChain xmlns="http://schemas.openxmlformats.org/spreadsheetml/2006/main">
  <c r="E26" i="2" l="1"/>
  <c r="D26" i="2"/>
  <c r="C26" i="2"/>
  <c r="B26" i="2"/>
  <c r="E25" i="2"/>
  <c r="D25" i="2"/>
  <c r="C25" i="2"/>
  <c r="B25" i="2"/>
  <c r="E24" i="2"/>
  <c r="D24" i="2"/>
  <c r="C24" i="2"/>
  <c r="B24" i="2"/>
  <c r="E23" i="2"/>
  <c r="D23" i="2"/>
  <c r="C23" i="2"/>
  <c r="B23" i="2"/>
  <c r="E22" i="2"/>
  <c r="D22" i="2"/>
  <c r="C22" i="2"/>
  <c r="B22" i="2"/>
  <c r="C18" i="2"/>
  <c r="B18" i="2"/>
  <c r="D18" i="2" s="1"/>
  <c r="C17" i="2"/>
  <c r="B17" i="2"/>
  <c r="D17" i="2" s="1"/>
  <c r="C16" i="2"/>
  <c r="B16" i="2"/>
  <c r="C15" i="2"/>
  <c r="B15" i="2"/>
  <c r="B11" i="2"/>
  <c r="D9" i="2"/>
  <c r="C9" i="2"/>
  <c r="B9" i="2"/>
  <c r="D8" i="2"/>
  <c r="C8" i="2"/>
  <c r="B8" i="2"/>
  <c r="D7" i="2"/>
  <c r="C7" i="2"/>
  <c r="B7" i="2"/>
  <c r="D6" i="2"/>
  <c r="C6" i="2"/>
  <c r="B6" i="2"/>
  <c r="D5" i="2"/>
  <c r="C5" i="2"/>
  <c r="B5" i="2"/>
  <c r="F26" i="2" l="1"/>
  <c r="F25" i="2"/>
  <c r="D16" i="2"/>
  <c r="F23" i="2"/>
  <c r="C10" i="2"/>
  <c r="F24" i="2"/>
  <c r="D15" i="2"/>
  <c r="E9" i="2"/>
  <c r="E7" i="2"/>
  <c r="D10" i="2"/>
  <c r="E8" i="2"/>
  <c r="F22" i="2"/>
  <c r="B10" i="2"/>
  <c r="E5" i="2"/>
  <c r="E6" i="2"/>
  <c r="E10" i="2" l="1"/>
</calcChain>
</file>

<file path=xl/sharedStrings.xml><?xml version="1.0" encoding="utf-8"?>
<sst xmlns="http://schemas.openxmlformats.org/spreadsheetml/2006/main" count="1344" uniqueCount="576">
  <si>
    <t>KUROTSUKI: ENDLESS NIGHT — liste de design</t>
  </si>
  <si>
    <t>Foi: Upgrades (numere), Relics (reguli care schimbă jocul), Kata (tehnici: Opening, Flow, Finisher, Master), Arena_Omens (prevestirile Arenei), Corruption (idei în așteptare), Sumar.</t>
  </si>
  <si>
    <t>Rândurile gri sunt ce EXISTĂ deja în joc. Restul sunt propuneri noi de la mine.</t>
  </si>
  <si>
    <t>Ce completezi tu: coloanele GALBENE (Decizie și Comentarii). În Decizie alegi din listă: DA, NU, MODIFIC sau DE DISCUTAT.</t>
  </si>
  <si>
    <t>Exemplu: la rândul „Ghost Sandals” pui DA în Decizie și în Comentarii „fă-l 20%”.</t>
  </si>
  <si>
    <t>Implementare: Stat existent = merge cu un stat deja în joc; Stat nou = trebuie adăugat un stat; Cod nou = trebuie scris script (pentru Kata, legat de evenimentele Kata).</t>
  </si>
  <si>
    <t>Build-uri: Dodge &amp; Counter, Crit &amp; Execution, Speed &amp; Flow, Survival, Economy. Ele ajută la echilibru: vezi foaia Sumar.</t>
  </si>
  <si>
    <t>Corruption și Cursed sunt doar idei în așteptare: nu intră în joc până nu decizi tu.</t>
  </si>
  <si>
    <t>Numele sunt în engleză (cum apar în joc), descrierile în română. Valorile numerice sunt puncte de plecare, le ajustăm la testare.</t>
  </si>
  <si>
    <t>Sumar listă (se actualizează automat)</t>
  </si>
  <si>
    <t>Pe build</t>
  </si>
  <si>
    <t>Build</t>
  </si>
  <si>
    <t>Upgrades</t>
  </si>
  <si>
    <t>Relics</t>
  </si>
  <si>
    <t>Kata</t>
  </si>
  <si>
    <t>Total</t>
  </si>
  <si>
    <t>Dodge &amp; Counter</t>
  </si>
  <si>
    <t>Crit &amp; Execution</t>
  </si>
  <si>
    <t>Speed &amp; Flow</t>
  </si>
  <si>
    <t>Survival</t>
  </si>
  <si>
    <t>Economy</t>
  </si>
  <si>
    <t>Total (fără Corruption)</t>
  </si>
  <si>
    <t>Corruption / Cursed (în așteptare)</t>
  </si>
  <si>
    <t>Kata pe categorie</t>
  </si>
  <si>
    <t>Categorie</t>
  </si>
  <si>
    <t>Există</t>
  </si>
  <si>
    <t>Nou</t>
  </si>
  <si>
    <t>Opening</t>
  </si>
  <si>
    <t>Flow</t>
  </si>
  <si>
    <t>Finisher</t>
  </si>
  <si>
    <t>Master</t>
  </si>
  <si>
    <t>Decizii (completezi în coloana galbenă din fiecare foaie)</t>
  </si>
  <si>
    <t>Foaie</t>
  </si>
  <si>
    <t>DA</t>
  </si>
  <si>
    <t>NU</t>
  </si>
  <si>
    <t>MODIFIC</t>
  </si>
  <si>
    <t>DE DISCUTAT</t>
  </si>
  <si>
    <t>Necompletat</t>
  </si>
  <si>
    <t>Arena_Omens</t>
  </si>
  <si>
    <t>Corruption</t>
  </si>
  <si>
    <t>ID</t>
  </si>
  <si>
    <t>Nume</t>
  </si>
  <si>
    <t>Raritate</t>
  </si>
  <si>
    <t>Efect (RO)</t>
  </si>
  <si>
    <t>Implementare</t>
  </si>
  <si>
    <t>Status</t>
  </si>
  <si>
    <t>Decizie</t>
  </si>
  <si>
    <t>Comentarii</t>
  </si>
  <si>
    <t>blood_edge</t>
  </si>
  <si>
    <t>Blood Edge</t>
  </si>
  <si>
    <t>Common</t>
  </si>
  <si>
    <t>+20% damage la atac</t>
  </si>
  <si>
    <t>Stat existent</t>
  </si>
  <si>
    <t>crimson_meal</t>
  </si>
  <si>
    <t>Crimson Meal</t>
  </si>
  <si>
    <t>Rare</t>
  </si>
  <si>
    <t>Vindecă 3 HP la fiecare kill</t>
  </si>
  <si>
    <t>dark_breath</t>
  </si>
  <si>
    <t>Dark Breath</t>
  </si>
  <si>
    <t>Epic</t>
  </si>
  <si>
    <t>Corruption (în așteptare)</t>
  </si>
  <si>
    <t>Fiecare lovitură adaugă 3 Corruption</t>
  </si>
  <si>
    <t>executioner</t>
  </si>
  <si>
    <t>Executioner</t>
  </si>
  <si>
    <t>+50% damage împotriva inamicilor sub 30% HP</t>
  </si>
  <si>
    <t>iron_skin</t>
  </si>
  <si>
    <t>Iron Skin</t>
  </si>
  <si>
    <t>-15% damage primit</t>
  </si>
  <si>
    <t>keen_edge</t>
  </si>
  <si>
    <t>Keen Edge</t>
  </si>
  <si>
    <t>+10% șansă de critic</t>
  </si>
  <si>
    <t>sakura_step</t>
  </si>
  <si>
    <t>Sakura Step</t>
  </si>
  <si>
    <t>+15% viteză de mișcare</t>
  </si>
  <si>
    <t>shadow_step</t>
  </si>
  <si>
    <t>Shadow Step</t>
  </si>
  <si>
    <t>+1 încărcare de dash</t>
  </si>
  <si>
    <t>swift_blade</t>
  </si>
  <si>
    <t>Swift Blade</t>
  </si>
  <si>
    <t>+20% viteză de atac</t>
  </si>
  <si>
    <t>vital_spirit</t>
  </si>
  <si>
    <t>Vital Spirit</t>
  </si>
  <si>
    <t>+25 HP maxim</t>
  </si>
  <si>
    <t>ghost_sandals</t>
  </si>
  <si>
    <t>Ghost Sandals</t>
  </si>
  <si>
    <t>Dash-ul se reîncarcă cu 15% mai repede</t>
  </si>
  <si>
    <t>Stat nou</t>
  </si>
  <si>
    <t>long_stride</t>
  </si>
  <si>
    <t>Long Stride</t>
  </si>
  <si>
    <t>Dash-ul parcurge cu 20% mai mult</t>
  </si>
  <si>
    <t>phantom_window</t>
  </si>
  <si>
    <t>Phantom Window</t>
  </si>
  <si>
    <t>Fereastra de Perfect Dodge e cu 40% mai lungă (0,10 s -&gt; 0,14 s)</t>
  </si>
  <si>
    <t>afterimage</t>
  </si>
  <si>
    <t>Afterimage</t>
  </si>
  <si>
    <t>Dash-ul te face invulnerabil cu 0,1 s mai mult</t>
  </si>
  <si>
    <t>riposte_edge</t>
  </si>
  <si>
    <t>Riposte Edge</t>
  </si>
  <si>
    <t>După un Perfect Dodge, următorul atac face +50% damage (3 s)</t>
  </si>
  <si>
    <t>Cod nou (eveniment Kata)</t>
  </si>
  <si>
    <t>slipstream</t>
  </si>
  <si>
    <t>Slipstream</t>
  </si>
  <si>
    <t>După dash ai +20% viteză 2 secunde</t>
  </si>
  <si>
    <t>Cod nou</t>
  </si>
  <si>
    <t>mirror_step</t>
  </si>
  <si>
    <t>Mirror Step</t>
  </si>
  <si>
    <t>Un Perfect Dodge îți returnează încărcarea de dash</t>
  </si>
  <si>
    <t>cutting_wind</t>
  </si>
  <si>
    <t>Cutting Wind</t>
  </si>
  <si>
    <t>Dash-ul rănește inamicii prin care treci (10 damage)</t>
  </si>
  <si>
    <t>quick_recovery</t>
  </si>
  <si>
    <t>Quick Recovery</t>
  </si>
  <si>
    <t>Fiecare lovitură dată reduce cooldown-ul dash-ului cu 0,2 s</t>
  </si>
  <si>
    <t>time_slip</t>
  </si>
  <si>
    <t>Time Slip</t>
  </si>
  <si>
    <t>Un Perfect Dodge încetinește inamicii din jur 1 secundă</t>
  </si>
  <si>
    <t>twin_moons</t>
  </si>
  <si>
    <t>Twin Moons</t>
  </si>
  <si>
    <t>Legendary</t>
  </si>
  <si>
    <t>+2 încărcări de dash</t>
  </si>
  <si>
    <t>lucky_thread</t>
  </si>
  <si>
    <t>Lucky Thread</t>
  </si>
  <si>
    <t>10% șansă ca o lovitură primită să facă 0 damage</t>
  </si>
  <si>
    <t>sharp_focus</t>
  </si>
  <si>
    <t>Sharp Focus</t>
  </si>
  <si>
    <t>+5% șansă de critic</t>
  </si>
  <si>
    <t>heavy_hands</t>
  </si>
  <si>
    <t>Heavy Hands</t>
  </si>
  <si>
    <t>Loviturile critice fac +25% damage în plus</t>
  </si>
  <si>
    <t>killing_intent</t>
  </si>
  <si>
    <t>Killing Intent</t>
  </si>
  <si>
    <t>Pragul de execuție crește de la 30% la 45% HP</t>
  </si>
  <si>
    <t>soul_reaper</t>
  </si>
  <si>
    <t>Soul Reaper</t>
  </si>
  <si>
    <t>Fiecare kill încarcă Ultimate-ul cu 5%</t>
  </si>
  <si>
    <t>bloodthirst</t>
  </si>
  <si>
    <t>Bloodthirst</t>
  </si>
  <si>
    <t>Vindecă +1 HP la kill</t>
  </si>
  <si>
    <t>bleeding_cut</t>
  </si>
  <si>
    <t>Bleeding Cut</t>
  </si>
  <si>
    <t>Criticele fac inamicul să sângereze 3 secunde</t>
  </si>
  <si>
    <t>finish_them</t>
  </si>
  <si>
    <t>Finish Them</t>
  </si>
  <si>
    <t>Heavy face +30% damage împotriva inamicilor sub 40% HP</t>
  </si>
  <si>
    <t>deadeye</t>
  </si>
  <si>
    <t>Deadeye</t>
  </si>
  <si>
    <t>Prima lovitură pe fiecare inamic are +15% șansă de critic</t>
  </si>
  <si>
    <t>overkill_wave</t>
  </si>
  <si>
    <t>Overkill Wave</t>
  </si>
  <si>
    <t>Damage-ul în exces la un kill rănește inamicii apropiați (50%)</t>
  </si>
  <si>
    <t>death_mark</t>
  </si>
  <si>
    <t>Death Mark</t>
  </si>
  <si>
    <t>Inamicii sub 10% HP mor din orice lovitură ușoară</t>
  </si>
  <si>
    <t>lethal_rhythm</t>
  </si>
  <si>
    <t>Lethal Rhythm</t>
  </si>
  <si>
    <t>A 5-a lovitură consecutivă este critic garantat</t>
  </si>
  <si>
    <t>dragon_fang</t>
  </si>
  <si>
    <t>Dragon Fang</t>
  </si>
  <si>
    <t>+25% șansă de critic și +50% damage critic</t>
  </si>
  <si>
    <t>light_grip</t>
  </si>
  <si>
    <t>Light Grip</t>
  </si>
  <si>
    <t>+10% viteză de atac</t>
  </si>
  <si>
    <t>wind_walker</t>
  </si>
  <si>
    <t>Wind Walker</t>
  </si>
  <si>
    <t>+10% viteză de mișcare</t>
  </si>
  <si>
    <t>flow_seeker</t>
  </si>
  <si>
    <t>Flow Seeker</t>
  </si>
  <si>
    <t>Primești cu 20% mai mult Flow din toate sursele</t>
  </si>
  <si>
    <t>lingering_mist</t>
  </si>
  <si>
    <t>Lingering Mist</t>
  </si>
  <si>
    <t>Kata rămâne deschis cu 1 secundă mai mult fără activitate</t>
  </si>
  <si>
    <t>opening_strike</t>
  </si>
  <si>
    <t>Opening Strike</t>
  </si>
  <si>
    <t>Prima lovitură după ce se deschide Kata face +40% damage</t>
  </si>
  <si>
    <t>rhythm_keeper</t>
  </si>
  <si>
    <t>Rhythm Keeper</t>
  </si>
  <si>
    <t>Pierzi cu 50% mai puțin Flow când ești lovit</t>
  </si>
  <si>
    <t>finisher_edge</t>
  </si>
  <si>
    <t>Finisher Edge</t>
  </si>
  <si>
    <t>Cooldown-ul Heavy este cu 20% mai mic</t>
  </si>
  <si>
    <t>heavy_momentum</t>
  </si>
  <si>
    <t>Heavy Momentum</t>
  </si>
  <si>
    <t>Heavy face +25% damage</t>
  </si>
  <si>
    <t>combo_spark</t>
  </si>
  <si>
    <t>Combo Spark</t>
  </si>
  <si>
    <t>A 3-a lovitură cu Kata deschis trimite o undă de tăiere</t>
  </si>
  <si>
    <t>whirl_training</t>
  </si>
  <si>
    <t>Whirl Training</t>
  </si>
  <si>
    <t>Heavy are rază cu 15% mai mare</t>
  </si>
  <si>
    <t>second_wind</t>
  </si>
  <si>
    <t>Second Wind</t>
  </si>
  <si>
    <t>După un Finisher, Kata se redeschide cu 30% Flow</t>
  </si>
  <si>
    <t>ultimate_charge</t>
  </si>
  <si>
    <t>Ultimate Charge</t>
  </si>
  <si>
    <t>Ultimate-ul se încarcă cu 25% mai repede</t>
  </si>
  <si>
    <t>skill_haste</t>
  </si>
  <si>
    <t>Skill Haste</t>
  </si>
  <si>
    <t>Iaijutsu și Kaeshi au cooldown cu 15% mai mic</t>
  </si>
  <si>
    <t>blade_storm</t>
  </si>
  <si>
    <t>Blade Storm</t>
  </si>
  <si>
    <t>+35% viteză de atac și +15% viteză de mișcare</t>
  </si>
  <si>
    <t>iron_will</t>
  </si>
  <si>
    <t>Iron Will</t>
  </si>
  <si>
    <t>+10% HP maxim</t>
  </si>
  <si>
    <t>stone_skin</t>
  </si>
  <si>
    <t>Stone Skin</t>
  </si>
  <si>
    <t>-8% damage primit</t>
  </si>
  <si>
    <t>bamboo_heart</t>
  </si>
  <si>
    <t>Bamboo Heart</t>
  </si>
  <si>
    <t>Vindecă 10% din HP la fiecare cameră curățată</t>
  </si>
  <si>
    <t>second_chance</t>
  </si>
  <si>
    <t>Second Chance</t>
  </si>
  <si>
    <t>O dată pe run, un damage letal te lasă cu 30% HP</t>
  </si>
  <si>
    <t>armor_plate</t>
  </si>
  <si>
    <t>Armor Plate</t>
  </si>
  <si>
    <t>Un scut de 15 damage se reface la fiecare cameră</t>
  </si>
  <si>
    <t>warm_tea</t>
  </si>
  <si>
    <t>Warm Tea</t>
  </si>
  <si>
    <t>Vindecă 15% HP la intrarea în Shop sau Treasure</t>
  </si>
  <si>
    <t>last_stand</t>
  </si>
  <si>
    <t>Last Stand</t>
  </si>
  <si>
    <t>Sub 30% HP: +25% damage și -20% damage primit</t>
  </si>
  <si>
    <t>spiked_armor</t>
  </si>
  <si>
    <t>Spiked Armor</t>
  </si>
  <si>
    <t>Inamicii care te lovesc primesc 8 damage</t>
  </si>
  <si>
    <t>lifebloom</t>
  </si>
  <si>
    <t>Lifebloom</t>
  </si>
  <si>
    <t>+15 HP maxim și vindecă 20 HP la fiecare level up</t>
  </si>
  <si>
    <t>calm_mind</t>
  </si>
  <si>
    <t>Calm Mind</t>
  </si>
  <si>
    <t>+1 lovitură ignorată pe cameră</t>
  </si>
  <si>
    <t>guardian_spirit</t>
  </si>
  <si>
    <t>Guardian Spirit</t>
  </si>
  <si>
    <t>După un Perfect Dodge primești un scut de 20 HP</t>
  </si>
  <si>
    <t>adrenaline</t>
  </si>
  <si>
    <t>Adrenaline</t>
  </si>
  <si>
    <t>După ce ești lovit: +30% viteză de atac 3 secunde</t>
  </si>
  <si>
    <t>iron_constitution</t>
  </si>
  <si>
    <t>Iron Constitution</t>
  </si>
  <si>
    <t>+50 HP maxim și -15% damage primit</t>
  </si>
  <si>
    <t>merchants_eye</t>
  </si>
  <si>
    <t>Merchant's Eye</t>
  </si>
  <si>
    <t>+15% aur din camere</t>
  </si>
  <si>
    <t>haggler</t>
  </si>
  <si>
    <t>Haggler</t>
  </si>
  <si>
    <t>Shop-urile costă cu 10% mai puțin</t>
  </si>
  <si>
    <t>scholars_brush</t>
  </si>
  <si>
    <t>Scholar's Brush</t>
  </si>
  <si>
    <t>+10% EXP din inamici</t>
  </si>
  <si>
    <t>wide_view</t>
  </si>
  <si>
    <t>Wide View</t>
  </si>
  <si>
    <t>La level up vezi 4 upgrade-uri în loc de 3</t>
  </si>
  <si>
    <t>reroll_token</t>
  </si>
  <si>
    <t>Reroll Token</t>
  </si>
  <si>
    <t>Poți relua o dată alegerea la level up</t>
  </si>
  <si>
    <t>Regulă (RO)</t>
  </si>
  <si>
    <t>Declanșator</t>
  </si>
  <si>
    <t>Dezavantaj</t>
  </si>
  <si>
    <t>fox_mask</t>
  </si>
  <si>
    <t>Fox Mask</t>
  </si>
  <si>
    <t>Blochează prima lovitură primită în fiecare cameră</t>
  </si>
  <si>
    <t>Intrare în cameră</t>
  </si>
  <si>
    <t>-</t>
  </si>
  <si>
    <t>black_pearl</t>
  </si>
  <si>
    <t>Black Pearl</t>
  </si>
  <si>
    <t>+50% aur din camere; Shop-urile costă cu 20% mai puțin</t>
  </si>
  <si>
    <t>Pasiv</t>
  </si>
  <si>
    <t>oni_horn</t>
  </si>
  <si>
    <t>Oni Horn</t>
  </si>
  <si>
    <t>+25% damage, dar -20% HP maxim</t>
  </si>
  <si>
    <t>-20% HP maxim</t>
  </si>
  <si>
    <t>samurai_eye</t>
  </si>
  <si>
    <t>Samurai Eye</t>
  </si>
  <si>
    <t>Un Perfect Dodge încetinește timpul 0,3 secunde</t>
  </si>
  <si>
    <t>Perfect Dodge</t>
  </si>
  <si>
    <t>kurotsuki_eye</t>
  </si>
  <si>
    <t>Kurotsuki Eye</t>
  </si>
  <si>
    <t>Un kill marchează cel mai apropiat inamic: primește +25% damage</t>
  </si>
  <si>
    <t>Kill</t>
  </si>
  <si>
    <t>sakura_charm</t>
  </si>
  <si>
    <t>Sakura Charm</t>
  </si>
  <si>
    <t>Un Finisher care ucide vindecă 5 HP</t>
  </si>
  <si>
    <t>Finisher + kill</t>
  </si>
  <si>
    <t>crow_feather</t>
  </si>
  <si>
    <t>Crow Feather</t>
  </si>
  <si>
    <t>Dash</t>
  </si>
  <si>
    <t>paper_lantern</t>
  </si>
  <si>
    <t>Paper Lantern</t>
  </si>
  <si>
    <t>Flow-ul nu scade 1 secundă după fiecare lovitură</t>
  </si>
  <si>
    <t>Lovitură</t>
  </si>
  <si>
    <t>broken_hilt</t>
  </si>
  <si>
    <t>Broken Katana Hilt</t>
  </si>
  <si>
    <t>Finisher-ul trimite și o undă de tăiere înainte</t>
  </si>
  <si>
    <t>moon_shard</t>
  </si>
  <si>
    <t>Moon Shard</t>
  </si>
  <si>
    <t>Orice Opening pornește Kata cu 50% Flow</t>
  </si>
  <si>
    <t>Kata se deschide</t>
  </si>
  <si>
    <t>tengu_fan</t>
  </si>
  <si>
    <t>Tengu Fan</t>
  </si>
  <si>
    <t>Perfect Dodge împinge inamicii din jur înapoi</t>
  </si>
  <si>
    <t>kitsune_tail</t>
  </si>
  <si>
    <t>Kitsune Tail</t>
  </si>
  <si>
    <t>După Perfect Dodge: +30% viteză și arcașii te pierd din ochi 2 s</t>
  </si>
  <si>
    <t>jade_bead</t>
  </si>
  <si>
    <t>Jade Bead</t>
  </si>
  <si>
    <t>Fiecare level up vindecă 30% HP</t>
  </si>
  <si>
    <t>Level up</t>
  </si>
  <si>
    <t>ronin_sandal</t>
  </si>
  <si>
    <t>Ronin's Sandal</t>
  </si>
  <si>
    <t>Primul dash din fiecare cameră nu consumă încărcare</t>
  </si>
  <si>
    <t>daruma_doll</t>
  </si>
  <si>
    <t>Daruma Doll</t>
  </si>
  <si>
    <t>O dată pe biom, o lovitură letală te lasă cu 1 HP</t>
  </si>
  <si>
    <t>Lovitură letală</t>
  </si>
  <si>
    <t>shrine_bell</t>
  </si>
  <si>
    <t>Shrine Bell</t>
  </si>
  <si>
    <t>Camerele de boss și mini-boss încep cu Kata deschis și Flow plin</t>
  </si>
  <si>
    <t>Intrare în cameră boss</t>
  </si>
  <si>
    <t>onibi_flame</t>
  </si>
  <si>
    <t>Onibi Flame</t>
  </si>
  <si>
    <t>iron_fan</t>
  </si>
  <si>
    <t>Iron Fan</t>
  </si>
  <si>
    <t>Heavy distruge proiectilele inamice din arcul lui</t>
  </si>
  <si>
    <t>Heavy</t>
  </si>
  <si>
    <t>hannya_mask</t>
  </si>
  <si>
    <t>Hannya Mask</t>
  </si>
  <si>
    <t>Criticele fac +100% damage, dar -10% HP maxim</t>
  </si>
  <si>
    <t>Critic</t>
  </si>
  <si>
    <t>-10% HP maxim</t>
  </si>
  <si>
    <t>gold_frog</t>
  </si>
  <si>
    <t>Gold Frog</t>
  </si>
  <si>
    <t>Fiecare monedă ridicată vindecă 1 HP</t>
  </si>
  <si>
    <t>Aur ridicat</t>
  </si>
  <si>
    <t>duel_scroll</t>
  </si>
  <si>
    <t>Scroll of Duels</t>
  </si>
  <si>
    <t>Recompensele din Duel și Arenă au o carte în plus</t>
  </si>
  <si>
    <t>Duel / Arenă</t>
  </si>
  <si>
    <t>merchant_seal</t>
  </si>
  <si>
    <t>Merchant's Seal</t>
  </si>
  <si>
    <t>Shop-ul are un obiect în plus și tehnicile Kata apar de 2 ori mai des</t>
  </si>
  <si>
    <t>Intrare în Shop</t>
  </si>
  <si>
    <t>whetstone</t>
  </si>
  <si>
    <t>Whetstone</t>
  </si>
  <si>
    <t>+15% damage cât timp Kata e deschis</t>
  </si>
  <si>
    <t>Kata deschis</t>
  </si>
  <si>
    <t>wanderer_map</t>
  </si>
  <si>
    <t>Wanderer's Map</t>
  </si>
  <si>
    <t>Minimap-ul arată tipul camerelor vecine, nu doar ușile</t>
  </si>
  <si>
    <t>calligraphy_ink</t>
  </si>
  <si>
    <t>Calligrapher's Ink</t>
  </si>
  <si>
    <t>Tehnicile Master apar mai des în Duel și Arenă (+25% șansă)</t>
  </si>
  <si>
    <t>mountain_heart</t>
  </si>
  <si>
    <t>Heart of the Mountain</t>
  </si>
  <si>
    <t>+30 HP maxim, dar -10% viteză de mișcare</t>
  </si>
  <si>
    <t>-10% viteză</t>
  </si>
  <si>
    <t>dancer_ribbon</t>
  </si>
  <si>
    <t>Dancer's Ribbon</t>
  </si>
  <si>
    <t>Dash-ul prin inamici le dă 5 damage și îți dă 10% Flow</t>
  </si>
  <si>
    <t>spirit_lantern</t>
  </si>
  <si>
    <t>Spirit Lantern</t>
  </si>
  <si>
    <t>Ultimate-ul se încarcă cu 25% mai repede și kill-urile din Ultimate îl prelungesc</t>
  </si>
  <si>
    <t>Ultimate</t>
  </si>
  <si>
    <t>quick_draw</t>
  </si>
  <si>
    <t>Quick Draw</t>
  </si>
  <si>
    <t>Se deschide la dash; începe cu 25% Flow</t>
  </si>
  <si>
    <t>riposte_step</t>
  </si>
  <si>
    <t>Riposte Step</t>
  </si>
  <si>
    <t>Se deschide la Perfect Dodge; începe cu 60% Flow</t>
  </si>
  <si>
    <t>ghost_step</t>
  </si>
  <si>
    <t>Ghost Step</t>
  </si>
  <si>
    <t>Se deschide la o lovitură în spatele inamicului; începe cu 30% Flow</t>
  </si>
  <si>
    <t>wounded_resolve</t>
  </si>
  <si>
    <t>Wounded Resolve</t>
  </si>
  <si>
    <t>Se deschide când primești damage; începe cu 40% Flow</t>
  </si>
  <si>
    <t>crescent_entry</t>
  </si>
  <si>
    <t>Crescent Entry</t>
  </si>
  <si>
    <t>Se deschide când folosești Iaijutsu</t>
  </si>
  <si>
    <t>shadow_vault</t>
  </si>
  <si>
    <t>Shadow Vault</t>
  </si>
  <si>
    <t>Se deschide când folosești Kaeshi</t>
  </si>
  <si>
    <t>dawn_bell</t>
  </si>
  <si>
    <t>Dawn Bell</t>
  </si>
  <si>
    <t>Se deschide la intrarea în orice cameră cu 20% Flow</t>
  </si>
  <si>
    <t>hunters_mark</t>
  </si>
  <si>
    <t>Hunter's Mark</t>
  </si>
  <si>
    <t>Se deschide la un kill</t>
  </si>
  <si>
    <t>critical_spark</t>
  </si>
  <si>
    <t>Critical Spark</t>
  </si>
  <si>
    <t>Se deschide la o lovitură critică</t>
  </si>
  <si>
    <t>thousand_cuts</t>
  </si>
  <si>
    <t>Thousand Cuts</t>
  </si>
  <si>
    <t>Se deschide la prima lovitură pe un inamic cu HP plin</t>
  </si>
  <si>
    <t>crimson_rhythm</t>
  </si>
  <si>
    <t>Crimson Rhythm</t>
  </si>
  <si>
    <t>Fiecare lovitură consecutivă valorează mai mult Flow; lovitura primită rupe ritmul</t>
  </si>
  <si>
    <t>untouched_edge</t>
  </si>
  <si>
    <t>Untouched Edge</t>
  </si>
  <si>
    <t>Flow rapid, dar prima lovitură primită îl șterge complet</t>
  </si>
  <si>
    <t>many_faces</t>
  </si>
  <si>
    <t>Many Faces</t>
  </si>
  <si>
    <t>Lovirea unui inamic nou dă mult Flow</t>
  </si>
  <si>
    <t>blood_tempo</t>
  </si>
  <si>
    <t>Blood Tempo</t>
  </si>
  <si>
    <t>Flow crește cu kill-urile (+25% per kill), nu cu loviturile</t>
  </si>
  <si>
    <t>crit_current</t>
  </si>
  <si>
    <t>Crit Current</t>
  </si>
  <si>
    <t>Criticele dau mult Flow (+40%), loviturile normale puțin</t>
  </si>
  <si>
    <t>dancing_blade</t>
  </si>
  <si>
    <t>Dancing Blade</t>
  </si>
  <si>
    <t>Flow crește când folosești dash (+10% per dash)</t>
  </si>
  <si>
    <t>still_water</t>
  </si>
  <si>
    <t>Still Water</t>
  </si>
  <si>
    <t>Flow crește constant în timp (+20%/s), dar damage-ul primit îl înjumătățește</t>
  </si>
  <si>
    <t>perfect_tempo</t>
  </si>
  <si>
    <t>Perfect Tempo</t>
  </si>
  <si>
    <t>Un Perfect Dodge dă +50% Flow</t>
  </si>
  <si>
    <t>skill_weaver</t>
  </si>
  <si>
    <t>Skill Weaver</t>
  </si>
  <si>
    <t>Iaijutsu, Kaeshi și Ultimate dau +30% Flow</t>
  </si>
  <si>
    <t>backstab_rhythm</t>
  </si>
  <si>
    <t>Backstab Rhythm</t>
  </si>
  <si>
    <t>Loviturile în spate dau +30% Flow</t>
  </si>
  <si>
    <t>moon_sever</t>
  </si>
  <si>
    <t>Moon Sever</t>
  </si>
  <si>
    <t>Tăietură uriașă (x1,6 rază), mai puternică cu Flow</t>
  </si>
  <si>
    <t>crimson_execution</t>
  </si>
  <si>
    <t>Crimson Execution</t>
  </si>
  <si>
    <t>Inamicii rămași sub 30% HP mor pe loc</t>
  </si>
  <si>
    <t>whirlwind</t>
  </si>
  <si>
    <t>Whirlwind</t>
  </si>
  <si>
    <t>Tăietura devine un cerc în jurul tău</t>
  </si>
  <si>
    <t>gale_slash</t>
  </si>
  <si>
    <t>Gale Slash</t>
  </si>
  <si>
    <t>Trimite o undă de tăiere care străpunge inamicii pe 12 metri</t>
  </si>
  <si>
    <t>twin_fang</t>
  </si>
  <si>
    <t>Twin Fang</t>
  </si>
  <si>
    <t>Heavy lovește de două ori (a doua oară 60% damage)</t>
  </si>
  <si>
    <t>blood_harvest</t>
  </si>
  <si>
    <t>Blood Harvest</t>
  </si>
  <si>
    <t>Vindecă 3 HP pentru fiecare inamic lovit</t>
  </si>
  <si>
    <t>shatter</t>
  </si>
  <si>
    <t>Shatter</t>
  </si>
  <si>
    <t>Inamicii loviți sunt amețiți 1,5 s și primesc +25% damage</t>
  </si>
  <si>
    <t>spirit_cleave</t>
  </si>
  <si>
    <t>Spirit Cleave</t>
  </si>
  <si>
    <t>Damage-ul crește cu 20% pentru fiecare inamic din arc</t>
  </si>
  <si>
    <t>crimson_rain</t>
  </si>
  <si>
    <t>Crimson Rain</t>
  </si>
  <si>
    <t>storm_step</t>
  </si>
  <si>
    <t>Storm Step</t>
  </si>
  <si>
    <t>perfect_draw</t>
  </si>
  <si>
    <t>Perfect Draw</t>
  </si>
  <si>
    <t>Un Perfect Dodge face următorul Finisher critic garantat</t>
  </si>
  <si>
    <t>shadow_doppelganger</t>
  </si>
  <si>
    <t>Shadow Doppelganger</t>
  </si>
  <si>
    <t>O umbră repetă fiecare Finisher (60% damage)</t>
  </si>
  <si>
    <t>echo_opening</t>
  </si>
  <si>
    <t>Echo Opening</t>
  </si>
  <si>
    <t>După un Finisher, Kata se redeschide imediat cu 30% Flow</t>
  </si>
  <si>
    <t>dual_flow</t>
  </si>
  <si>
    <t>Dual Flow</t>
  </si>
  <si>
    <t>Poți purta două tehnici Flow în același timp</t>
  </si>
  <si>
    <t>perfect_silence</t>
  </si>
  <si>
    <t>Perfect Silence</t>
  </si>
  <si>
    <t>Un Perfect Dodge îngheață inamicii din jur 1 secundă</t>
  </si>
  <si>
    <t>blood_oath</t>
  </si>
  <si>
    <t>Blood Oath</t>
  </si>
  <si>
    <t>Finisher-ul primește +1% damage per kill din camera curentă (max +100%)</t>
  </si>
  <si>
    <t>phantom_cut</t>
  </si>
  <si>
    <t>Phantom Cut</t>
  </si>
  <si>
    <t>A 4-a lovitură ușoară lasă o tăietură-fantomă care lovește după 0,5 s</t>
  </si>
  <si>
    <t>double_opening</t>
  </si>
  <si>
    <t>Double Opening</t>
  </si>
  <si>
    <t>Poți purta două tehnici Opening: Kata se deschide la oricare</t>
  </si>
  <si>
    <t>eternal_flow</t>
  </si>
  <si>
    <t>Eternal Flow</t>
  </si>
  <si>
    <t>Kata nu se mai închide din timeout; Flow-ul scade încet</t>
  </si>
  <si>
    <t>moonlit_execution</t>
  </si>
  <si>
    <t>Moonlit Execution</t>
  </si>
  <si>
    <t>Cu Flow plin, Finisher-ul este întotdeauna critic</t>
  </si>
  <si>
    <t>Dificultate</t>
  </si>
  <si>
    <t>Efect asupra luptei</t>
  </si>
  <si>
    <t>Recompensă</t>
  </si>
  <si>
    <t>Pale Moon</t>
  </si>
  <si>
    <t>Ușor</t>
  </si>
  <si>
    <t>Inamici normali, 3 valuri (4/5/6)</t>
  </si>
  <si>
    <t>Tehnică + 40 EXP + 30 aur</t>
  </si>
  <si>
    <t>Blood Moon</t>
  </si>
  <si>
    <t>Mediu</t>
  </si>
  <si>
    <t>+30% HP, +25% damage, +1 inamic/val, 1 Heavy în ultimul val</t>
  </si>
  <si>
    <t>Tehnică + 90 EXP + 60 aur</t>
  </si>
  <si>
    <t>Black Storm</t>
  </si>
  <si>
    <t>Greu</t>
  </si>
  <si>
    <t>+60% HP, +50% damage, +2 inamici/val, 2 Heavy în ultimul val</t>
  </si>
  <si>
    <t>Tehnică + 180 EXP + 120 aur, 35% șansă Master</t>
  </si>
  <si>
    <t>Fog of Ghosts</t>
  </si>
  <si>
    <t>Ceață deasă: vizibilitate redusă, inamicii apar și dispar din ceață</t>
  </si>
  <si>
    <t>Tehnică + 100 EXP</t>
  </si>
  <si>
    <t>Iron Rain</t>
  </si>
  <si>
    <t>Ploaie de săgeți pe zone marcate pe podea pe tot parcursul luptei</t>
  </si>
  <si>
    <t>Tehnică + 70 gold + 70 EXP</t>
  </si>
  <si>
    <t>Eclipse</t>
  </si>
  <si>
    <t>Toți inamicii +30% viteză; nu poți vedea telegraph-ul primei lovituri</t>
  </si>
  <si>
    <t>Tehnică + 150 aur</t>
  </si>
  <si>
    <t>Hunger Moon</t>
  </si>
  <si>
    <t>Nu te poți vindeca în arenă (fără life on kill, fără heal)</t>
  </si>
  <si>
    <t>Tehnică + o reluare a ofertei</t>
  </si>
  <si>
    <t>Silent Night</t>
  </si>
  <si>
    <t>Foarte greu</t>
  </si>
  <si>
    <t>Ultimate-ul nu se încarcă; inamicii +40% HP</t>
  </si>
  <si>
    <t>Tehnică + 50% șansă Master</t>
  </si>
  <si>
    <t>Crimson Tide</t>
  </si>
  <si>
    <t>Inamicii explodă la moarte (zonă mică de damage)</t>
  </si>
  <si>
    <t>Tehnică + 90 EXP</t>
  </si>
  <si>
    <t>Twin Suns</t>
  </si>
  <si>
    <t>Valurile vin în perechi: două grupuri odată, 2 valuri în loc de 3</t>
  </si>
  <si>
    <t>Tehnică + 120 EXP + 80 aur</t>
  </si>
  <si>
    <t>Tip</t>
  </si>
  <si>
    <t>Idee (în așteptare, decizi tu)</t>
  </si>
  <si>
    <t>Notă</t>
  </si>
  <si>
    <t>Prag 25%</t>
  </si>
  <si>
    <t>Idee pentru bonus la 25% Corruption</t>
  </si>
  <si>
    <t>Prag 50%</t>
  </si>
  <si>
    <t>+20% damage; apar upgrade-uri Cursed în oferte</t>
  </si>
  <si>
    <t>Idee</t>
  </si>
  <si>
    <t>Prag 75%</t>
  </si>
  <si>
    <t>+30% damage; vizual diferit pentru Kazuma; Kata își pierde 1 secundă de timeout</t>
  </si>
  <si>
    <t>Prag 100%</t>
  </si>
  <si>
    <t>Idee, rămâne de decis</t>
  </si>
  <si>
    <t>Cursed Blade</t>
  </si>
  <si>
    <t>Upgrade Cursed</t>
  </si>
  <si>
    <t>+60% damage, dar -25% HP maxim</t>
  </si>
  <si>
    <t>Cursed Hunger</t>
  </si>
  <si>
    <t>Vindecă 6 HP la kill, dar nu mai ai alte vindecări</t>
  </si>
  <si>
    <t>Cursed Rhythm</t>
  </si>
  <si>
    <t>Flow-ul crește de 2 ori mai repede, dar timeout-ul Kata scade la 1,5 s</t>
  </si>
  <si>
    <t>Cursed Haste</t>
  </si>
  <si>
    <t>+40% viteză de atac, dar -1 încărcare dash</t>
  </si>
  <si>
    <t>Cursed Mirror</t>
  </si>
  <si>
    <t>Relic Cursed</t>
  </si>
  <si>
    <t>Kurotsuki's Gift</t>
  </si>
  <si>
    <t>Un kill adaugă 5 Corruption și 2% damage permanent pe run (max 20%)</t>
  </si>
  <si>
    <t>modifica cu 10%</t>
  </si>
  <si>
    <t>Fiecare kill adaugă 3 Corruption</t>
  </si>
  <si>
    <t>modifica cu 15%</t>
  </si>
  <si>
    <t>modifica cu 20</t>
  </si>
  <si>
    <t>se adauga overall un efect de perfect dodge, care incetinste timpul. Acest upgrade creste durata de incetinire a timpului.</t>
  </si>
  <si>
    <t>Ca modificare - Ultimata trebuie sa se incarce mai incet (mai greu). Ultimata se incarca numai cand faci kills, astfel incat jucatorul sa nu stea sa se incarce ultimata inainte de fiecare boss.</t>
  </si>
  <si>
    <t>soul_syphon</t>
  </si>
  <si>
    <t>Soul Syphon</t>
  </si>
  <si>
    <t>Loviturile critice pot aplica bleed</t>
  </si>
  <si>
    <t>cursed_wound</t>
  </si>
  <si>
    <t>Cursed Wound</t>
  </si>
  <si>
    <t>Efectele de bleed ofera lifestyle pe toata durata bleed ului inimacilor</t>
  </si>
  <si>
    <t>extra 20% aur (nu 50%)</t>
  </si>
  <si>
    <t>Se adauga la timpul genersal de incetinire</t>
  </si>
  <si>
    <t>Dash-ul lasă o dâră care rănește si aplica bleed inamicilor (5 damage/s)</t>
  </si>
  <si>
    <t>Perfect Dodge te face invizibil pentru 0.8 secunde</t>
  </si>
  <si>
    <t>Vanish</t>
  </si>
  <si>
    <t>vanish</t>
  </si>
  <si>
    <t>Kill-urile au 20% șansă să lase o flacără care aplica bleed inamicilor ce trec prin ea</t>
  </si>
  <si>
    <t>Bleed</t>
  </si>
  <si>
    <t>aplicabil pentru orice proiectil</t>
  </si>
  <si>
    <t>la "flow mai rapid" ne referim la atac speed</t>
  </si>
  <si>
    <t>Trebuie sa mai punem la punct un aspect legat de Kata:
Open, deschide Kata. O data ajuns la Flow, acesta trebuie sa ofere (cat timp e activ) DMG extra, attack speed, (alt efect). Finisherul are deja "combo" extra si inchide Kata. Dupa ca se reia I data ce conditia de Open e indeplinita iar.</t>
  </si>
  <si>
    <t>Combo de 2 atacuri diferite</t>
  </si>
  <si>
    <t>Lasă o zonă care aplica bleed pe inamici timp de 3 secunde</t>
  </si>
  <si>
    <t>tremor</t>
  </si>
  <si>
    <t>Tremor</t>
  </si>
  <si>
    <t>Lasă o zonă care raneste inamicii 3 secunde</t>
  </si>
  <si>
    <t>Heavy te face invulnerabil în timpul lui</t>
  </si>
  <si>
    <t>Regula noua overall pentru Corruption:
Corruption creste usor cu fiecare Kill pana ajunge la 100%.
Atunci cand bara de coruptie ajunge la 100% jucatorul devide posedat (I se schimba infatisarea, apare o aura mov inchis cu negru in jurul lui, iar hainele si parul sa misca constant ca si cum vantul bate mereu pe el).
o data ajuns la 100% jucatorul intra un rage mode, unde are:
Viteza de miscare mai mare
Viteza de atac mai mare
DMG extra
Lifestyle.
In data ce Possesed (rage mode-ul) a inceput, bara de coruptie incepe sa scata de la 100 la 0.
Dupa ce efectul s-a terminat, jucatorul isi reia forma initiala. bara de orruption primeste un colldown, dupa care incepe sa se incarce iar cu fiecare kill.
Procentele si durata te rog sa le adaptezi tu, ulterior le modificam dupa placere/nevoie.</t>
  </si>
  <si>
    <t>Primești +5% damage</t>
  </si>
  <si>
    <t>Vizual mov pe marginea ecranului (nu pe caracter)</t>
  </si>
  <si>
    <t>Berserk 15 s: +60% damage, -50% damage primit, apoi Corruption revine la 0% si aplica cooldown</t>
  </si>
  <si>
    <t>Perfect Dodge ingheata timpul pana la prima lovitura data unui inamic și Finisher-ele fac dublu damage, dar loviturile primite fac +30%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</si>
</sst>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0"/>
      <color rgb="FFFFFFFF"/>
      <name val="Arial"/>
    </font>
    <font>
      <sz val="10"/>
      <color rgb="FF000000"/>
      <name val="Arial"/>
    </font>
    <font>
      <b/>
      <sz val="13"/>
      <color rgb="FF000000"/>
      <name val="Arial"/>
    </font>
    <font>
      <b/>
      <sz val="10"/>
      <color rgb="FF000000"/>
      <name val="Arial"/>
    </font>
    <font>
      <sz val="10"/>
      <color rgb="FF000000"/>
      <name val="Arial"/>
      <family val="2"/>
    </font>
  </fonts>
  <fills count="4">
    <fill>
      <patternFill patternType="none"/>
    </fill>
    <fill>
      <patternFill patternType="gray125"/>
    </fill>
    <fill>
      <patternFill patternType="solid">
        <fgColor rgb="FF1F2A44"/>
      </patternFill>
    </fill>
    <fill>
      <patternFill patternType="solid">
        <fgColor rgb="FFFFFF00"/>
      </patternFill>
    </fill>
  </fills>
  <borders count="5">
    <border>
      <left/>
      <right/>
      <top/>
      <bottom/>
      <diagonal/>
    </border>
    <border>
      <left style="thin">
        <color rgb="FFC8CCD4"/>
      </left>
      <right style="thin">
        <color rgb="FFC8CCD4"/>
      </right>
      <top style="thin">
        <color rgb="FFC8CCD4"/>
      </top>
      <bottom style="thin">
        <color rgb="FFC8CCD4"/>
      </bottom>
      <diagonal/>
    </border>
    <border>
      <left style="thin">
        <color indexed="64"/>
      </left>
      <right style="thin">
        <color indexed="64"/>
      </right>
      <top style="thin">
        <color indexed="64"/>
      </top>
      <bottom style="thin">
        <color indexed="64"/>
      </bottom>
      <diagonal/>
    </border>
    <border>
      <left style="thin">
        <color rgb="FFC8CCD4"/>
      </left>
      <right style="thin">
        <color rgb="FFC8CCD4"/>
      </right>
      <top style="thin">
        <color rgb="FFC8CCD4"/>
      </top>
      <bottom/>
      <diagonal/>
    </border>
    <border>
      <left style="thin">
        <color rgb="FFC8CCD4"/>
      </left>
      <right style="thin">
        <color rgb="FFC8CCD4"/>
      </right>
      <top/>
      <bottom/>
      <diagonal/>
    </border>
  </borders>
  <cellStyleXfs count="1">
    <xf numFmtId="0" fontId="0" fillId="0" borderId="0"/>
  </cellStyleXfs>
  <cellXfs count="22">
    <xf numFmtId="0" fontId="0" fillId="0" borderId="0" xfId="0"/>
    <xf numFmtId="0" fontId="3" fillId="0" borderId="0" xfId="0" applyFont="1" applyAlignment="1">
      <alignment vertical="top" wrapText="1"/>
    </xf>
    <xf numFmtId="0" fontId="2" fillId="0" borderId="0" xfId="0" applyFont="1" applyAlignment="1">
      <alignment vertical="top" wrapText="1"/>
    </xf>
    <xf numFmtId="0" fontId="3" fillId="0" borderId="0" xfId="0" applyFont="1"/>
    <xf numFmtId="0" fontId="4" fillId="0" borderId="0" xfId="0" applyFont="1"/>
    <xf numFmtId="0" fontId="1" fillId="2" borderId="1" xfId="0" applyFont="1" applyFill="1" applyBorder="1"/>
    <xf numFmtId="0" fontId="2" fillId="0" borderId="1" xfId="0" applyFont="1" applyBorder="1"/>
    <xf numFmtId="0" fontId="4" fillId="0" borderId="1" xfId="0" applyFont="1" applyBorder="1"/>
    <xf numFmtId="0" fontId="1" fillId="2" borderId="1" xfId="0" applyFont="1" applyFill="1" applyBorder="1" applyAlignment="1">
      <alignment vertical="center" wrapText="1"/>
    </xf>
    <xf numFmtId="0" fontId="2" fillId="0" borderId="1" xfId="0" applyFont="1" applyBorder="1" applyAlignment="1">
      <alignment vertical="top" wrapText="1"/>
    </xf>
    <xf numFmtId="0" fontId="2" fillId="3" borderId="1" xfId="0" applyFont="1" applyFill="1" applyBorder="1" applyAlignment="1">
      <alignment vertical="top" wrapText="1"/>
    </xf>
    <xf numFmtId="0" fontId="2" fillId="0" borderId="2" xfId="0" applyFont="1" applyBorder="1" applyAlignment="1">
      <alignment vertical="top" wrapText="1"/>
    </xf>
    <xf numFmtId="0" fontId="5" fillId="3" borderId="1" xfId="0" applyFont="1" applyFill="1" applyBorder="1" applyAlignment="1">
      <alignment vertical="top" wrapText="1"/>
    </xf>
    <xf numFmtId="0" fontId="5" fillId="0" borderId="1" xfId="0" applyFont="1" applyBorder="1" applyAlignment="1">
      <alignment vertical="top" wrapText="1"/>
    </xf>
    <xf numFmtId="0" fontId="1" fillId="2" borderId="3" xfId="0" applyFont="1" applyFill="1" applyBorder="1" applyAlignment="1">
      <alignment vertical="center" wrapText="1"/>
    </xf>
    <xf numFmtId="0" fontId="2" fillId="3" borderId="2" xfId="0" applyFont="1" applyFill="1" applyBorder="1" applyAlignment="1">
      <alignment vertical="top" wrapText="1"/>
    </xf>
    <xf numFmtId="0" fontId="5" fillId="3" borderId="2" xfId="0" applyFont="1" applyFill="1" applyBorder="1" applyAlignment="1">
      <alignment vertical="top" wrapText="1"/>
    </xf>
    <xf numFmtId="0" fontId="5" fillId="0" borderId="2" xfId="0" applyFont="1" applyBorder="1" applyAlignment="1">
      <alignment vertical="top" wrapText="1"/>
    </xf>
    <xf numFmtId="0" fontId="5" fillId="0" borderId="2" xfId="0" applyFont="1" applyFill="1" applyBorder="1" applyAlignment="1">
      <alignment vertical="top" wrapText="1"/>
    </xf>
    <xf numFmtId="0" fontId="5" fillId="0" borderId="4" xfId="0" applyFont="1" applyFill="1" applyBorder="1" applyAlignment="1">
      <alignment vertical="top" wrapText="1"/>
    </xf>
    <xf numFmtId="0" fontId="0" fillId="0" borderId="2" xfId="0" applyBorder="1" applyAlignment="1">
      <alignment wrapText="1"/>
    </xf>
    <xf numFmtId="0" fontId="0" fillId="0" borderId="2" xfId="0" applyBorder="1" applyAlignment="1">
      <alignment horizontal="left" vertical="center" wrapText="1"/>
    </xf>
  </cellXfs>
  <cellStyles count="1">
    <cellStyle name="Normal" xfId="0" builtinId="0"/>
  </cellStyles>
  <dxfs count="16">
    <dxf>
      <fill>
        <patternFill patternType="solid">
          <fgColor rgb="FFE7E9EE"/>
        </patternFill>
      </fill>
    </dxf>
    <dxf>
      <fill>
        <patternFill patternType="solid">
          <fgColor rgb="FFE7E9EE"/>
        </patternFill>
      </fill>
    </dxf>
    <dxf>
      <fill>
        <patternFill patternType="solid">
          <fgColor rgb="FFE7E9EE"/>
        </patternFill>
      </fill>
    </dxf>
    <dxf>
      <fill>
        <patternFill patternType="solid">
          <fgColor rgb="FFE7E9EE"/>
        </patternFill>
      </fill>
    </dxf>
    <dxf>
      <fill>
        <patternFill patternType="solid">
          <fgColor rgb="FFE7E9EE"/>
        </patternFill>
      </fill>
    </dxf>
    <dxf>
      <fill>
        <patternFill patternType="solid">
          <fgColor rgb="FFE7E9EE"/>
        </patternFill>
      </fill>
    </dxf>
    <dxf>
      <fill>
        <patternFill patternType="solid">
          <fgColor rgb="FFE7E9EE"/>
        </patternFill>
      </fill>
    </dxf>
    <dxf>
      <fill>
        <patternFill patternType="solid">
          <fgColor rgb="FFE7E9EE"/>
        </patternFill>
      </fill>
    </dxf>
    <dxf>
      <fill>
        <patternFill patternType="solid">
          <fgColor rgb="FFE7E9EE"/>
        </patternFill>
      </fill>
    </dxf>
    <dxf>
      <fill>
        <patternFill patternType="solid">
          <fgColor rgb="FFE7E9EE"/>
        </patternFill>
      </fill>
    </dxf>
    <dxf>
      <fill>
        <patternFill patternType="solid">
          <fgColor rgb="FFE7E9EE"/>
        </patternFill>
      </fill>
    </dxf>
    <dxf>
      <fill>
        <patternFill>
          <bgColor theme="0" tint="-0.24994659260841701"/>
        </patternFill>
      </fill>
    </dxf>
    <dxf>
      <fill>
        <patternFill>
          <bgColor theme="3" tint="0.59996337778862885"/>
        </patternFill>
      </fill>
    </dxf>
    <dxf>
      <fill>
        <patternFill>
          <bgColor theme="7"/>
        </patternFill>
      </fill>
    </dxf>
    <dxf>
      <fill>
        <patternFill>
          <bgColor rgb="FFFFFF00"/>
        </patternFill>
      </fill>
    </dxf>
    <dxf>
      <fill>
        <patternFill patternType="solid">
          <fgColor rgb="FFE7E9E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2"/>
  <sheetViews>
    <sheetView workbookViewId="0">
      <selection activeCell="A14" sqref="A14"/>
    </sheetView>
  </sheetViews>
  <sheetFormatPr defaultRowHeight="15" x14ac:dyDescent="0.25"/>
  <cols>
    <col min="1" max="1" width="120" customWidth="1"/>
  </cols>
  <sheetData>
    <row r="1" spans="1:1" ht="16.5" x14ac:dyDescent="0.25">
      <c r="A1" s="1" t="s">
        <v>0</v>
      </c>
    </row>
    <row r="2" spans="1:1" x14ac:dyDescent="0.25">
      <c r="A2" s="2"/>
    </row>
    <row r="3" spans="1:1" ht="30" customHeight="1" x14ac:dyDescent="0.25">
      <c r="A3" s="11" t="s">
        <v>1</v>
      </c>
    </row>
    <row r="4" spans="1:1" ht="30" customHeight="1" x14ac:dyDescent="0.25">
      <c r="A4" s="11" t="s">
        <v>2</v>
      </c>
    </row>
    <row r="5" spans="1:1" ht="30" customHeight="1" x14ac:dyDescent="0.25">
      <c r="A5" s="11" t="s">
        <v>3</v>
      </c>
    </row>
    <row r="6" spans="1:1" ht="30" customHeight="1" x14ac:dyDescent="0.25">
      <c r="A6" s="11" t="s">
        <v>4</v>
      </c>
    </row>
    <row r="7" spans="1:1" ht="30" customHeight="1" x14ac:dyDescent="0.25">
      <c r="A7" s="11" t="s">
        <v>5</v>
      </c>
    </row>
    <row r="8" spans="1:1" ht="30" customHeight="1" x14ac:dyDescent="0.25">
      <c r="A8" s="11" t="s">
        <v>6</v>
      </c>
    </row>
    <row r="9" spans="1:1" ht="30" customHeight="1" x14ac:dyDescent="0.25">
      <c r="A9" s="11" t="s">
        <v>7</v>
      </c>
    </row>
    <row r="10" spans="1:1" ht="30" customHeight="1" x14ac:dyDescent="0.25">
      <c r="A10" s="11" t="s">
        <v>8</v>
      </c>
    </row>
    <row r="11" spans="1:1" ht="25.5" x14ac:dyDescent="0.25">
      <c r="A11" s="18" t="s">
        <v>547</v>
      </c>
    </row>
    <row r="12" spans="1:1" ht="45" x14ac:dyDescent="0.25">
      <c r="A12" s="20" t="s">
        <v>564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6"/>
  <sheetViews>
    <sheetView workbookViewId="0"/>
  </sheetViews>
  <sheetFormatPr defaultRowHeight="15" x14ac:dyDescent="0.25"/>
  <cols>
    <col min="1" max="1" width="38" customWidth="1"/>
    <col min="2" max="2" width="14" customWidth="1"/>
    <col min="3" max="4" width="12" customWidth="1"/>
    <col min="5" max="6" width="14" customWidth="1"/>
  </cols>
  <sheetData>
    <row r="1" spans="1:5" ht="16.5" x14ac:dyDescent="0.25">
      <c r="A1" s="3" t="s">
        <v>9</v>
      </c>
    </row>
    <row r="3" spans="1:5" x14ac:dyDescent="0.25">
      <c r="A3" s="4" t="s">
        <v>10</v>
      </c>
    </row>
    <row r="4" spans="1:5" x14ac:dyDescent="0.25">
      <c r="A4" s="5" t="s">
        <v>11</v>
      </c>
      <c r="B4" s="5" t="s">
        <v>12</v>
      </c>
      <c r="C4" s="5" t="s">
        <v>13</v>
      </c>
      <c r="D4" s="5" t="s">
        <v>14</v>
      </c>
      <c r="E4" s="5" t="s">
        <v>15</v>
      </c>
    </row>
    <row r="5" spans="1:5" x14ac:dyDescent="0.25">
      <c r="A5" s="6" t="s">
        <v>16</v>
      </c>
      <c r="B5" s="6">
        <f>COUNTIF(Upgrades!$D$2:$D$67,A5)</f>
        <v>13</v>
      </c>
      <c r="C5" s="6">
        <f>COUNTIF(Relics!$C$2:$C$29,A5)</f>
        <v>7</v>
      </c>
      <c r="D5" s="6">
        <f>COUNTIF(Kata!$D$2:$D$42,A5)</f>
        <v>9</v>
      </c>
      <c r="E5" s="6">
        <f>SUM(B5:D5)</f>
        <v>29</v>
      </c>
    </row>
    <row r="6" spans="1:5" x14ac:dyDescent="0.25">
      <c r="A6" s="6" t="s">
        <v>17</v>
      </c>
      <c r="B6" s="6">
        <f>COUNTIF(Upgrades!$D$2:$D$67,A6)</f>
        <v>14</v>
      </c>
      <c r="C6" s="6">
        <f>COUNTIF(Relics!$C$2:$C$29,A6)</f>
        <v>3</v>
      </c>
      <c r="D6" s="6">
        <f>COUNTIF(Kata!$D$2:$D$42,A6)</f>
        <v>15</v>
      </c>
      <c r="E6" s="6">
        <f>SUM(B6:D6)</f>
        <v>32</v>
      </c>
    </row>
    <row r="7" spans="1:5" x14ac:dyDescent="0.25">
      <c r="A7" s="6" t="s">
        <v>18</v>
      </c>
      <c r="B7" s="6">
        <f>COUNTIF(Upgrades!$D$2:$D$67,A7)</f>
        <v>16</v>
      </c>
      <c r="C7" s="6">
        <f>COUNTIF(Relics!$C$2:$C$29,A7)</f>
        <v>8</v>
      </c>
      <c r="D7" s="6">
        <f>COUNTIF(Kata!$D$2:$D$42,A7)</f>
        <v>13</v>
      </c>
      <c r="E7" s="6">
        <f>SUM(B7:D7)</f>
        <v>37</v>
      </c>
    </row>
    <row r="8" spans="1:5" x14ac:dyDescent="0.25">
      <c r="A8" s="6" t="s">
        <v>19</v>
      </c>
      <c r="B8" s="6">
        <f>COUNTIF(Upgrades!$D$2:$D$67,A8)</f>
        <v>17</v>
      </c>
      <c r="C8" s="6">
        <f>COUNTIF(Relics!$C$2:$C$29,A8)</f>
        <v>5</v>
      </c>
      <c r="D8" s="6">
        <f>COUNTIF(Kata!$D$2:$D$42,A8)</f>
        <v>3</v>
      </c>
      <c r="E8" s="6">
        <f>SUM(B8:D8)</f>
        <v>25</v>
      </c>
    </row>
    <row r="9" spans="1:5" x14ac:dyDescent="0.25">
      <c r="A9" s="6" t="s">
        <v>20</v>
      </c>
      <c r="B9" s="6">
        <f>COUNTIF(Upgrades!$D$2:$D$67,A9)</f>
        <v>5</v>
      </c>
      <c r="C9" s="6">
        <f>COUNTIF(Relics!$C$2:$C$29,A9)</f>
        <v>4</v>
      </c>
      <c r="D9" s="6">
        <f>COUNTIF(Kata!$D$2:$D$42,A9)</f>
        <v>0</v>
      </c>
      <c r="E9" s="6">
        <f>SUM(B9:D9)</f>
        <v>9</v>
      </c>
    </row>
    <row r="10" spans="1:5" x14ac:dyDescent="0.25">
      <c r="A10" s="6" t="s">
        <v>21</v>
      </c>
      <c r="B10" s="6">
        <f>SUM(B5:B9)</f>
        <v>65</v>
      </c>
      <c r="C10" s="6">
        <f>SUM(C5:C9)</f>
        <v>27</v>
      </c>
      <c r="D10" s="6">
        <f>SUM(D5:D9)</f>
        <v>40</v>
      </c>
      <c r="E10" s="6">
        <f>SUM(E5:E9)</f>
        <v>132</v>
      </c>
    </row>
    <row r="11" spans="1:5" x14ac:dyDescent="0.25">
      <c r="A11" s="6" t="s">
        <v>22</v>
      </c>
      <c r="B11" s="6">
        <f>COUNTIF(Upgrades!$D$2:$D$67,"Corruption*")</f>
        <v>1</v>
      </c>
    </row>
    <row r="13" spans="1:5" x14ac:dyDescent="0.25">
      <c r="A13" s="7" t="s">
        <v>23</v>
      </c>
    </row>
    <row r="14" spans="1:5" x14ac:dyDescent="0.25">
      <c r="A14" s="5" t="s">
        <v>24</v>
      </c>
      <c r="B14" s="5" t="s">
        <v>25</v>
      </c>
      <c r="C14" s="5" t="s">
        <v>26</v>
      </c>
      <c r="D14" s="5" t="s">
        <v>15</v>
      </c>
    </row>
    <row r="15" spans="1:5" x14ac:dyDescent="0.25">
      <c r="A15" s="6" t="s">
        <v>27</v>
      </c>
      <c r="B15" s="6">
        <f>COUNTIFS(Kata!$C$2:$C$42,A15,Kata!$G$2:$G$42,"Există")</f>
        <v>3</v>
      </c>
      <c r="C15" s="6">
        <f>COUNTIFS(Kata!$C$2:$C$42,A15,Kata!$G$2:$G$42,"Nou")</f>
        <v>7</v>
      </c>
      <c r="D15" s="6">
        <f>B15+C15</f>
        <v>10</v>
      </c>
    </row>
    <row r="16" spans="1:5" x14ac:dyDescent="0.25">
      <c r="A16" s="6" t="s">
        <v>28</v>
      </c>
      <c r="B16" s="6">
        <f>COUNTIFS(Kata!$C$2:$C$42,A16,Kata!$G$2:$G$42,"Există")</f>
        <v>3</v>
      </c>
      <c r="C16" s="6">
        <f>COUNTIFS(Kata!$C$2:$C$42,A16,Kata!$G$2:$G$42,"Nou")</f>
        <v>7</v>
      </c>
      <c r="D16" s="6">
        <f>B16+C16</f>
        <v>10</v>
      </c>
    </row>
    <row r="17" spans="1:6" x14ac:dyDescent="0.25">
      <c r="A17" s="6" t="s">
        <v>29</v>
      </c>
      <c r="B17" s="6">
        <f>COUNTIFS(Kata!$C$2:$C$42,A17,Kata!$G$2:$G$42,"Există")</f>
        <v>3</v>
      </c>
      <c r="C17" s="6">
        <f>COUNTIFS(Kata!$C$2:$C$42,A17,Kata!$G$2:$G$42,"Nou")</f>
        <v>8</v>
      </c>
      <c r="D17" s="6">
        <f>B17+C17</f>
        <v>11</v>
      </c>
    </row>
    <row r="18" spans="1:6" x14ac:dyDescent="0.25">
      <c r="A18" s="6" t="s">
        <v>30</v>
      </c>
      <c r="B18" s="6">
        <f>COUNTIFS(Kata!$C$2:$C$42,A18,Kata!$G$2:$G$42,"Există")</f>
        <v>2</v>
      </c>
      <c r="C18" s="6">
        <f>COUNTIFS(Kata!$C$2:$C$42,A18,Kata!$G$2:$G$42,"Nou")</f>
        <v>8</v>
      </c>
      <c r="D18" s="6">
        <f>B18+C18</f>
        <v>10</v>
      </c>
    </row>
    <row r="20" spans="1:6" x14ac:dyDescent="0.25">
      <c r="A20" s="7" t="s">
        <v>31</v>
      </c>
    </row>
    <row r="21" spans="1:6" x14ac:dyDescent="0.25">
      <c r="A21" s="5" t="s">
        <v>32</v>
      </c>
      <c r="B21" s="5" t="s">
        <v>33</v>
      </c>
      <c r="C21" s="5" t="s">
        <v>34</v>
      </c>
      <c r="D21" s="5" t="s">
        <v>35</v>
      </c>
      <c r="E21" s="5" t="s">
        <v>36</v>
      </c>
      <c r="F21" s="5" t="s">
        <v>37</v>
      </c>
    </row>
    <row r="22" spans="1:6" x14ac:dyDescent="0.25">
      <c r="A22" s="6" t="s">
        <v>12</v>
      </c>
      <c r="B22" s="6">
        <f>COUNTIF(Upgrades!$H$2:$H$67,"DA")</f>
        <v>59</v>
      </c>
      <c r="C22" s="6">
        <f>COUNTIF(Upgrades!$H$2:$H$67,"NU")</f>
        <v>3</v>
      </c>
      <c r="D22" s="6">
        <f>COUNTIF(Upgrades!$H$2:$H$67,"MODIFIC")</f>
        <v>1</v>
      </c>
      <c r="E22" s="6">
        <f>COUNTIF(Upgrades!$H$2:$H$67,"DE DISCUTAT")</f>
        <v>3</v>
      </c>
      <c r="F22" s="6">
        <f>COUNTA(Upgrades!$A$2:$A$67)-SUM(B22:E22)</f>
        <v>0</v>
      </c>
    </row>
    <row r="23" spans="1:6" x14ac:dyDescent="0.25">
      <c r="A23" s="6" t="s">
        <v>13</v>
      </c>
      <c r="B23" s="6">
        <f>COUNTIF(Relics!$I$2:$I$29,"DA")</f>
        <v>26</v>
      </c>
      <c r="C23" s="6">
        <f>COUNTIF(Relics!$I$2:$I$29,"NU")</f>
        <v>2</v>
      </c>
      <c r="D23" s="6">
        <f>COUNTIF(Relics!$I$2:$I$29,"MODIFIC")</f>
        <v>0</v>
      </c>
      <c r="E23" s="6">
        <f>COUNTIF(Relics!$I$2:$I$29,"DE DISCUTAT")</f>
        <v>0</v>
      </c>
      <c r="F23" s="6">
        <f>COUNTA(Relics!$A$2:$A$29)-SUM(B23:E23)</f>
        <v>0</v>
      </c>
    </row>
    <row r="24" spans="1:6" x14ac:dyDescent="0.25">
      <c r="A24" s="6" t="s">
        <v>14</v>
      </c>
      <c r="B24" s="6">
        <f>COUNTIF(Kata!$H$2:$H$42,"DA")</f>
        <v>37</v>
      </c>
      <c r="C24" s="6">
        <f>COUNTIF(Kata!$H$2:$H$42,"NU")</f>
        <v>3</v>
      </c>
      <c r="D24" s="6">
        <f>COUNTIF(Kata!$H$2:$H$42,"MODIFIC")</f>
        <v>0</v>
      </c>
      <c r="E24" s="6">
        <f>COUNTIF(Kata!$H$2:$H$42,"DE DISCUTAT")</f>
        <v>1</v>
      </c>
      <c r="F24" s="6">
        <f>COUNTA(Kata!$A$2:$A$42)-SUM(B24:E24)</f>
        <v>0</v>
      </c>
    </row>
    <row r="25" spans="1:6" x14ac:dyDescent="0.25">
      <c r="A25" s="6" t="s">
        <v>38</v>
      </c>
      <c r="B25" s="6">
        <f>COUNTIF(Arena_Omens!$F$2:$F$11,"DA")</f>
        <v>10</v>
      </c>
      <c r="C25" s="6">
        <f>COUNTIF(Arena_Omens!$F$2:$F$11,"NU")</f>
        <v>0</v>
      </c>
      <c r="D25" s="6">
        <f>COUNTIF(Arena_Omens!$F$2:$F$11,"MODIFIC")</f>
        <v>0</v>
      </c>
      <c r="E25" s="6">
        <f>COUNTIF(Arena_Omens!$F$2:$F$11,"DE DISCUTAT")</f>
        <v>0</v>
      </c>
      <c r="F25" s="6">
        <f>COUNTA(Arena_Omens!$A$2:$A$11)-SUM(B25:E25)</f>
        <v>0</v>
      </c>
    </row>
    <row r="26" spans="1:6" x14ac:dyDescent="0.25">
      <c r="A26" s="6" t="s">
        <v>39</v>
      </c>
      <c r="B26" s="6">
        <f>COUNTIF(Corruption!$E$4:$E$13,"DA")</f>
        <v>7</v>
      </c>
      <c r="C26" s="6">
        <f>COUNTIF(Corruption!$E$4:$E$13,"NU")</f>
        <v>2</v>
      </c>
      <c r="D26" s="6">
        <f>COUNTIF(Corruption!$E$4:$E$13,"MODIFIC")</f>
        <v>1</v>
      </c>
      <c r="E26" s="6">
        <f>COUNTIF(Corruption!$E$4:$E$13,"DE DISCUTAT")</f>
        <v>0</v>
      </c>
      <c r="F26" s="6">
        <f>COUNTA(Corruption!$A$4:$A$13)-SUM(B26:E26)</f>
        <v>0</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68"/>
  <sheetViews>
    <sheetView workbookViewId="0">
      <pane xSplit="2" ySplit="1" topLeftCell="C23" activePane="bottomRight" state="frozen"/>
      <selection pane="topRight"/>
      <selection pane="bottomLeft"/>
      <selection pane="bottomRight" activeCell="B71" sqref="B71"/>
    </sheetView>
  </sheetViews>
  <sheetFormatPr defaultRowHeight="15" x14ac:dyDescent="0.25"/>
  <cols>
    <col min="1" max="1" width="20" customWidth="1"/>
    <col min="2" max="2" width="22" customWidth="1"/>
    <col min="3" max="3" width="10.42578125" bestFit="1" customWidth="1"/>
    <col min="4" max="4" width="20" customWidth="1"/>
    <col min="5" max="5" width="62" customWidth="1"/>
    <col min="6" max="6" width="24" customWidth="1"/>
    <col min="7" max="7" width="10" customWidth="1"/>
    <col min="8" max="8" width="14" customWidth="1"/>
    <col min="9" max="9" width="40" customWidth="1"/>
  </cols>
  <sheetData>
    <row r="1" spans="1:9" ht="30" customHeight="1" x14ac:dyDescent="0.25">
      <c r="A1" s="14" t="s">
        <v>40</v>
      </c>
      <c r="B1" s="14" t="s">
        <v>41</v>
      </c>
      <c r="C1" s="14" t="s">
        <v>42</v>
      </c>
      <c r="D1" s="14" t="s">
        <v>11</v>
      </c>
      <c r="E1" s="14" t="s">
        <v>43</v>
      </c>
      <c r="F1" s="14" t="s">
        <v>44</v>
      </c>
      <c r="G1" s="14" t="s">
        <v>45</v>
      </c>
      <c r="H1" s="14" t="s">
        <v>46</v>
      </c>
      <c r="I1" s="14" t="s">
        <v>47</v>
      </c>
    </row>
    <row r="2" spans="1:9" x14ac:dyDescent="0.25">
      <c r="A2" s="11" t="s">
        <v>48</v>
      </c>
      <c r="B2" s="11" t="s">
        <v>49</v>
      </c>
      <c r="C2" s="11" t="s">
        <v>50</v>
      </c>
      <c r="D2" s="11" t="s">
        <v>17</v>
      </c>
      <c r="E2" s="11" t="s">
        <v>51</v>
      </c>
      <c r="F2" s="11" t="s">
        <v>52</v>
      </c>
      <c r="G2" s="11" t="s">
        <v>25</v>
      </c>
      <c r="H2" s="15" t="s">
        <v>33</v>
      </c>
      <c r="I2" s="16" t="s">
        <v>544</v>
      </c>
    </row>
    <row r="3" spans="1:9" x14ac:dyDescent="0.25">
      <c r="A3" s="11" t="s">
        <v>53</v>
      </c>
      <c r="B3" s="11" t="s">
        <v>54</v>
      </c>
      <c r="C3" s="11" t="s">
        <v>55</v>
      </c>
      <c r="D3" s="11" t="s">
        <v>19</v>
      </c>
      <c r="E3" s="11" t="s">
        <v>56</v>
      </c>
      <c r="F3" s="11" t="s">
        <v>52</v>
      </c>
      <c r="G3" s="11" t="s">
        <v>25</v>
      </c>
      <c r="H3" s="15" t="s">
        <v>33</v>
      </c>
      <c r="I3" s="15"/>
    </row>
    <row r="4" spans="1:9" ht="25.5" x14ac:dyDescent="0.25">
      <c r="A4" s="11" t="s">
        <v>57</v>
      </c>
      <c r="B4" s="11" t="s">
        <v>58</v>
      </c>
      <c r="C4" s="11" t="s">
        <v>59</v>
      </c>
      <c r="D4" s="11" t="s">
        <v>60</v>
      </c>
      <c r="E4" s="17" t="s">
        <v>61</v>
      </c>
      <c r="F4" s="11" t="s">
        <v>52</v>
      </c>
      <c r="G4" s="11" t="s">
        <v>25</v>
      </c>
      <c r="H4" s="15" t="s">
        <v>33</v>
      </c>
      <c r="I4" s="16" t="s">
        <v>543</v>
      </c>
    </row>
    <row r="5" spans="1:9" x14ac:dyDescent="0.25">
      <c r="A5" s="11" t="s">
        <v>62</v>
      </c>
      <c r="B5" s="11" t="s">
        <v>63</v>
      </c>
      <c r="C5" s="11" t="s">
        <v>55</v>
      </c>
      <c r="D5" s="11" t="s">
        <v>17</v>
      </c>
      <c r="E5" s="11" t="s">
        <v>64</v>
      </c>
      <c r="F5" s="11" t="s">
        <v>52</v>
      </c>
      <c r="G5" s="11" t="s">
        <v>25</v>
      </c>
      <c r="H5" s="15" t="s">
        <v>33</v>
      </c>
      <c r="I5" s="15"/>
    </row>
    <row r="6" spans="1:9" x14ac:dyDescent="0.25">
      <c r="A6" s="11" t="s">
        <v>65</v>
      </c>
      <c r="B6" s="11" t="s">
        <v>66</v>
      </c>
      <c r="C6" s="11" t="s">
        <v>50</v>
      </c>
      <c r="D6" s="11" t="s">
        <v>19</v>
      </c>
      <c r="E6" s="11" t="s">
        <v>67</v>
      </c>
      <c r="F6" s="11" t="s">
        <v>52</v>
      </c>
      <c r="G6" s="11" t="s">
        <v>25</v>
      </c>
      <c r="H6" s="15" t="s">
        <v>33</v>
      </c>
      <c r="I6" s="16" t="s">
        <v>542</v>
      </c>
    </row>
    <row r="7" spans="1:9" x14ac:dyDescent="0.25">
      <c r="A7" s="11" t="s">
        <v>68</v>
      </c>
      <c r="B7" s="11" t="s">
        <v>69</v>
      </c>
      <c r="C7" s="11" t="s">
        <v>55</v>
      </c>
      <c r="D7" s="11" t="s">
        <v>17</v>
      </c>
      <c r="E7" s="11" t="s">
        <v>70</v>
      </c>
      <c r="F7" s="11" t="s">
        <v>52</v>
      </c>
      <c r="G7" s="11" t="s">
        <v>25</v>
      </c>
      <c r="H7" s="15" t="s">
        <v>33</v>
      </c>
      <c r="I7" s="15"/>
    </row>
    <row r="8" spans="1:9" x14ac:dyDescent="0.25">
      <c r="A8" s="11" t="s">
        <v>71</v>
      </c>
      <c r="B8" s="11" t="s">
        <v>72</v>
      </c>
      <c r="C8" s="11" t="s">
        <v>50</v>
      </c>
      <c r="D8" s="11" t="s">
        <v>18</v>
      </c>
      <c r="E8" s="11" t="s">
        <v>73</v>
      </c>
      <c r="F8" s="11" t="s">
        <v>52</v>
      </c>
      <c r="G8" s="11" t="s">
        <v>25</v>
      </c>
      <c r="H8" s="15" t="s">
        <v>33</v>
      </c>
      <c r="I8" s="15"/>
    </row>
    <row r="9" spans="1:9" x14ac:dyDescent="0.25">
      <c r="A9" s="11" t="s">
        <v>74</v>
      </c>
      <c r="B9" s="11" t="s">
        <v>75</v>
      </c>
      <c r="C9" s="11" t="s">
        <v>59</v>
      </c>
      <c r="D9" s="11" t="s">
        <v>16</v>
      </c>
      <c r="E9" s="11" t="s">
        <v>76</v>
      </c>
      <c r="F9" s="11" t="s">
        <v>52</v>
      </c>
      <c r="G9" s="11" t="s">
        <v>25</v>
      </c>
      <c r="H9" s="15" t="s">
        <v>33</v>
      </c>
      <c r="I9" s="15"/>
    </row>
    <row r="10" spans="1:9" x14ac:dyDescent="0.25">
      <c r="A10" s="11" t="s">
        <v>77</v>
      </c>
      <c r="B10" s="11" t="s">
        <v>78</v>
      </c>
      <c r="C10" s="11" t="s">
        <v>50</v>
      </c>
      <c r="D10" s="11" t="s">
        <v>18</v>
      </c>
      <c r="E10" s="11" t="s">
        <v>79</v>
      </c>
      <c r="F10" s="11" t="s">
        <v>52</v>
      </c>
      <c r="G10" s="11" t="s">
        <v>25</v>
      </c>
      <c r="H10" s="15" t="s">
        <v>33</v>
      </c>
      <c r="I10" s="16" t="s">
        <v>544</v>
      </c>
    </row>
    <row r="11" spans="1:9" x14ac:dyDescent="0.25">
      <c r="A11" s="11" t="s">
        <v>80</v>
      </c>
      <c r="B11" s="11" t="s">
        <v>81</v>
      </c>
      <c r="C11" s="11" t="s">
        <v>50</v>
      </c>
      <c r="D11" s="11" t="s">
        <v>19</v>
      </c>
      <c r="E11" s="11" t="s">
        <v>82</v>
      </c>
      <c r="F11" s="11" t="s">
        <v>52</v>
      </c>
      <c r="G11" s="11" t="s">
        <v>25</v>
      </c>
      <c r="H11" s="15" t="s">
        <v>33</v>
      </c>
      <c r="I11" s="16" t="s">
        <v>545</v>
      </c>
    </row>
    <row r="12" spans="1:9" x14ac:dyDescent="0.25">
      <c r="A12" s="11" t="s">
        <v>83</v>
      </c>
      <c r="B12" s="11" t="s">
        <v>84</v>
      </c>
      <c r="C12" s="11" t="s">
        <v>50</v>
      </c>
      <c r="D12" s="11" t="s">
        <v>16</v>
      </c>
      <c r="E12" s="11" t="s">
        <v>85</v>
      </c>
      <c r="F12" s="11" t="s">
        <v>86</v>
      </c>
      <c r="G12" s="11" t="s">
        <v>26</v>
      </c>
      <c r="H12" s="15" t="s">
        <v>33</v>
      </c>
      <c r="I12" s="15"/>
    </row>
    <row r="13" spans="1:9" x14ac:dyDescent="0.25">
      <c r="A13" s="11" t="s">
        <v>87</v>
      </c>
      <c r="B13" s="11" t="s">
        <v>88</v>
      </c>
      <c r="C13" s="11" t="s">
        <v>50</v>
      </c>
      <c r="D13" s="11" t="s">
        <v>16</v>
      </c>
      <c r="E13" s="11" t="s">
        <v>89</v>
      </c>
      <c r="F13" s="11" t="s">
        <v>86</v>
      </c>
      <c r="G13" s="11" t="s">
        <v>26</v>
      </c>
      <c r="H13" s="15" t="s">
        <v>36</v>
      </c>
      <c r="I13" s="15"/>
    </row>
    <row r="14" spans="1:9" x14ac:dyDescent="0.25">
      <c r="A14" s="11" t="s">
        <v>90</v>
      </c>
      <c r="B14" s="11" t="s">
        <v>91</v>
      </c>
      <c r="C14" s="11" t="s">
        <v>55</v>
      </c>
      <c r="D14" s="11" t="s">
        <v>16</v>
      </c>
      <c r="E14" s="11" t="s">
        <v>92</v>
      </c>
      <c r="F14" s="11" t="s">
        <v>86</v>
      </c>
      <c r="G14" s="11" t="s">
        <v>26</v>
      </c>
      <c r="H14" s="15" t="s">
        <v>33</v>
      </c>
      <c r="I14" s="16"/>
    </row>
    <row r="15" spans="1:9" x14ac:dyDescent="0.25">
      <c r="A15" s="11" t="s">
        <v>93</v>
      </c>
      <c r="B15" s="11" t="s">
        <v>94</v>
      </c>
      <c r="C15" s="11" t="s">
        <v>55</v>
      </c>
      <c r="D15" s="11" t="s">
        <v>16</v>
      </c>
      <c r="E15" s="11" t="s">
        <v>95</v>
      </c>
      <c r="F15" s="11" t="s">
        <v>86</v>
      </c>
      <c r="G15" s="11" t="s">
        <v>26</v>
      </c>
      <c r="H15" s="15" t="s">
        <v>34</v>
      </c>
      <c r="I15" s="15"/>
    </row>
    <row r="16" spans="1:9" x14ac:dyDescent="0.25">
      <c r="A16" s="11" t="s">
        <v>96</v>
      </c>
      <c r="B16" s="11" t="s">
        <v>97</v>
      </c>
      <c r="C16" s="11" t="s">
        <v>55</v>
      </c>
      <c r="D16" s="11" t="s">
        <v>16</v>
      </c>
      <c r="E16" s="11" t="s">
        <v>98</v>
      </c>
      <c r="F16" s="11" t="s">
        <v>99</v>
      </c>
      <c r="G16" s="11" t="s">
        <v>26</v>
      </c>
      <c r="H16" s="15" t="s">
        <v>33</v>
      </c>
      <c r="I16" s="16"/>
    </row>
    <row r="17" spans="1:9" x14ac:dyDescent="0.25">
      <c r="A17" s="11" t="s">
        <v>100</v>
      </c>
      <c r="B17" s="11" t="s">
        <v>101</v>
      </c>
      <c r="C17" s="11" t="s">
        <v>50</v>
      </c>
      <c r="D17" s="11" t="s">
        <v>16</v>
      </c>
      <c r="E17" s="11" t="s">
        <v>102</v>
      </c>
      <c r="F17" s="11" t="s">
        <v>103</v>
      </c>
      <c r="G17" s="11" t="s">
        <v>26</v>
      </c>
      <c r="H17" s="15" t="s">
        <v>33</v>
      </c>
      <c r="I17" s="15"/>
    </row>
    <row r="18" spans="1:9" x14ac:dyDescent="0.25">
      <c r="A18" s="11" t="s">
        <v>104</v>
      </c>
      <c r="B18" s="11" t="s">
        <v>105</v>
      </c>
      <c r="C18" s="11" t="s">
        <v>59</v>
      </c>
      <c r="D18" s="11" t="s">
        <v>16</v>
      </c>
      <c r="E18" s="11" t="s">
        <v>106</v>
      </c>
      <c r="F18" s="11" t="s">
        <v>99</v>
      </c>
      <c r="G18" s="11" t="s">
        <v>26</v>
      </c>
      <c r="H18" s="15" t="s">
        <v>33</v>
      </c>
      <c r="I18" s="15"/>
    </row>
    <row r="19" spans="1:9" x14ac:dyDescent="0.25">
      <c r="A19" s="11" t="s">
        <v>107</v>
      </c>
      <c r="B19" s="11" t="s">
        <v>108</v>
      </c>
      <c r="C19" s="11" t="s">
        <v>55</v>
      </c>
      <c r="D19" s="11" t="s">
        <v>16</v>
      </c>
      <c r="E19" s="11" t="s">
        <v>109</v>
      </c>
      <c r="F19" s="11" t="s">
        <v>103</v>
      </c>
      <c r="G19" s="11" t="s">
        <v>26</v>
      </c>
      <c r="H19" s="15" t="s">
        <v>34</v>
      </c>
      <c r="I19" s="15"/>
    </row>
    <row r="20" spans="1:9" x14ac:dyDescent="0.25">
      <c r="A20" s="11" t="s">
        <v>110</v>
      </c>
      <c r="B20" s="11" t="s">
        <v>111</v>
      </c>
      <c r="C20" s="11" t="s">
        <v>50</v>
      </c>
      <c r="D20" s="11" t="s">
        <v>16</v>
      </c>
      <c r="E20" s="11" t="s">
        <v>112</v>
      </c>
      <c r="F20" s="11" t="s">
        <v>103</v>
      </c>
      <c r="G20" s="11" t="s">
        <v>26</v>
      </c>
      <c r="H20" s="15" t="s">
        <v>33</v>
      </c>
      <c r="I20" s="15"/>
    </row>
    <row r="21" spans="1:9" ht="38.25" x14ac:dyDescent="0.25">
      <c r="A21" s="11" t="s">
        <v>113</v>
      </c>
      <c r="B21" s="11" t="s">
        <v>114</v>
      </c>
      <c r="C21" s="11" t="s">
        <v>59</v>
      </c>
      <c r="D21" s="11" t="s">
        <v>16</v>
      </c>
      <c r="E21" s="11" t="s">
        <v>115</v>
      </c>
      <c r="F21" s="11" t="s">
        <v>99</v>
      </c>
      <c r="G21" s="11" t="s">
        <v>26</v>
      </c>
      <c r="H21" s="15" t="s">
        <v>35</v>
      </c>
      <c r="I21" s="16" t="s">
        <v>546</v>
      </c>
    </row>
    <row r="22" spans="1:9" x14ac:dyDescent="0.25">
      <c r="A22" s="11" t="s">
        <v>116</v>
      </c>
      <c r="B22" s="11" t="s">
        <v>117</v>
      </c>
      <c r="C22" s="11" t="s">
        <v>118</v>
      </c>
      <c r="D22" s="11" t="s">
        <v>16</v>
      </c>
      <c r="E22" s="11" t="s">
        <v>119</v>
      </c>
      <c r="F22" s="11" t="s">
        <v>52</v>
      </c>
      <c r="G22" s="11" t="s">
        <v>26</v>
      </c>
      <c r="H22" s="15" t="s">
        <v>33</v>
      </c>
      <c r="I22" s="15"/>
    </row>
    <row r="23" spans="1:9" x14ac:dyDescent="0.25">
      <c r="A23" s="11" t="s">
        <v>120</v>
      </c>
      <c r="B23" s="11" t="s">
        <v>121</v>
      </c>
      <c r="C23" s="11" t="s">
        <v>50</v>
      </c>
      <c r="D23" s="11" t="s">
        <v>16</v>
      </c>
      <c r="E23" s="11" t="s">
        <v>122</v>
      </c>
      <c r="F23" s="11" t="s">
        <v>86</v>
      </c>
      <c r="G23" s="11" t="s">
        <v>26</v>
      </c>
      <c r="H23" s="15" t="s">
        <v>33</v>
      </c>
      <c r="I23" s="15"/>
    </row>
    <row r="24" spans="1:9" x14ac:dyDescent="0.25">
      <c r="A24" s="11" t="s">
        <v>123</v>
      </c>
      <c r="B24" s="11" t="s">
        <v>124</v>
      </c>
      <c r="C24" s="11" t="s">
        <v>50</v>
      </c>
      <c r="D24" s="11" t="s">
        <v>17</v>
      </c>
      <c r="E24" s="11" t="s">
        <v>125</v>
      </c>
      <c r="F24" s="11" t="s">
        <v>52</v>
      </c>
      <c r="G24" s="11" t="s">
        <v>26</v>
      </c>
      <c r="H24" s="15" t="s">
        <v>33</v>
      </c>
      <c r="I24" s="15"/>
    </row>
    <row r="25" spans="1:9" x14ac:dyDescent="0.25">
      <c r="A25" s="11" t="s">
        <v>126</v>
      </c>
      <c r="B25" s="11" t="s">
        <v>127</v>
      </c>
      <c r="C25" s="11" t="s">
        <v>50</v>
      </c>
      <c r="D25" s="11" t="s">
        <v>17</v>
      </c>
      <c r="E25" s="11" t="s">
        <v>128</v>
      </c>
      <c r="F25" s="11" t="s">
        <v>86</v>
      </c>
      <c r="G25" s="11" t="s">
        <v>26</v>
      </c>
      <c r="H25" s="15" t="s">
        <v>33</v>
      </c>
      <c r="I25" s="15"/>
    </row>
    <row r="26" spans="1:9" x14ac:dyDescent="0.25">
      <c r="A26" s="11" t="s">
        <v>129</v>
      </c>
      <c r="B26" s="11" t="s">
        <v>130</v>
      </c>
      <c r="C26" s="11" t="s">
        <v>55</v>
      </c>
      <c r="D26" s="11" t="s">
        <v>17</v>
      </c>
      <c r="E26" s="11" t="s">
        <v>131</v>
      </c>
      <c r="F26" s="11" t="s">
        <v>86</v>
      </c>
      <c r="G26" s="11" t="s">
        <v>26</v>
      </c>
      <c r="H26" s="15" t="s">
        <v>36</v>
      </c>
      <c r="I26" s="15"/>
    </row>
    <row r="27" spans="1:9" x14ac:dyDescent="0.25">
      <c r="A27" s="11" t="s">
        <v>132</v>
      </c>
      <c r="B27" s="11" t="s">
        <v>133</v>
      </c>
      <c r="C27" s="11" t="s">
        <v>55</v>
      </c>
      <c r="D27" s="11" t="s">
        <v>17</v>
      </c>
      <c r="E27" s="11" t="s">
        <v>134</v>
      </c>
      <c r="F27" s="11" t="s">
        <v>103</v>
      </c>
      <c r="G27" s="11" t="s">
        <v>26</v>
      </c>
      <c r="H27" s="15" t="s">
        <v>33</v>
      </c>
      <c r="I27" s="15"/>
    </row>
    <row r="28" spans="1:9" x14ac:dyDescent="0.25">
      <c r="A28" s="11" t="s">
        <v>135</v>
      </c>
      <c r="B28" s="11" t="s">
        <v>136</v>
      </c>
      <c r="C28" s="11" t="s">
        <v>50</v>
      </c>
      <c r="D28" s="11" t="s">
        <v>19</v>
      </c>
      <c r="E28" s="11" t="s">
        <v>137</v>
      </c>
      <c r="F28" s="11" t="s">
        <v>52</v>
      </c>
      <c r="G28" s="11" t="s">
        <v>26</v>
      </c>
      <c r="H28" s="15" t="s">
        <v>33</v>
      </c>
      <c r="I28" s="15"/>
    </row>
    <row r="29" spans="1:9" x14ac:dyDescent="0.25">
      <c r="A29" s="11" t="s">
        <v>138</v>
      </c>
      <c r="B29" s="11" t="s">
        <v>139</v>
      </c>
      <c r="C29" s="11" t="s">
        <v>55</v>
      </c>
      <c r="D29" s="11" t="s">
        <v>17</v>
      </c>
      <c r="E29" s="11" t="s">
        <v>140</v>
      </c>
      <c r="F29" s="11" t="s">
        <v>103</v>
      </c>
      <c r="G29" s="11" t="s">
        <v>26</v>
      </c>
      <c r="H29" s="15" t="s">
        <v>33</v>
      </c>
      <c r="I29" s="15"/>
    </row>
    <row r="30" spans="1:9" x14ac:dyDescent="0.25">
      <c r="A30" s="11" t="s">
        <v>141</v>
      </c>
      <c r="B30" s="11" t="s">
        <v>142</v>
      </c>
      <c r="C30" s="11" t="s">
        <v>55</v>
      </c>
      <c r="D30" s="11" t="s">
        <v>17</v>
      </c>
      <c r="E30" s="11" t="s">
        <v>143</v>
      </c>
      <c r="F30" s="11" t="s">
        <v>99</v>
      </c>
      <c r="G30" s="11" t="s">
        <v>26</v>
      </c>
      <c r="H30" s="15" t="s">
        <v>33</v>
      </c>
      <c r="I30" s="15"/>
    </row>
    <row r="31" spans="1:9" x14ac:dyDescent="0.25">
      <c r="A31" s="11" t="s">
        <v>144</v>
      </c>
      <c r="B31" s="11" t="s">
        <v>145</v>
      </c>
      <c r="C31" s="11" t="s">
        <v>59</v>
      </c>
      <c r="D31" s="11" t="s">
        <v>17</v>
      </c>
      <c r="E31" s="11" t="s">
        <v>146</v>
      </c>
      <c r="F31" s="11" t="s">
        <v>103</v>
      </c>
      <c r="G31" s="11" t="s">
        <v>26</v>
      </c>
      <c r="H31" s="15" t="s">
        <v>33</v>
      </c>
      <c r="I31" s="15"/>
    </row>
    <row r="32" spans="1:9" x14ac:dyDescent="0.25">
      <c r="A32" s="11" t="s">
        <v>147</v>
      </c>
      <c r="B32" s="11" t="s">
        <v>148</v>
      </c>
      <c r="C32" s="11" t="s">
        <v>59</v>
      </c>
      <c r="D32" s="11" t="s">
        <v>17</v>
      </c>
      <c r="E32" s="11" t="s">
        <v>149</v>
      </c>
      <c r="F32" s="11" t="s">
        <v>103</v>
      </c>
      <c r="G32" s="11" t="s">
        <v>26</v>
      </c>
      <c r="H32" s="15" t="s">
        <v>33</v>
      </c>
      <c r="I32" s="15"/>
    </row>
    <row r="33" spans="1:9" x14ac:dyDescent="0.25">
      <c r="A33" s="11" t="s">
        <v>150</v>
      </c>
      <c r="B33" s="11" t="s">
        <v>151</v>
      </c>
      <c r="C33" s="11" t="s">
        <v>59</v>
      </c>
      <c r="D33" s="11" t="s">
        <v>17</v>
      </c>
      <c r="E33" s="11" t="s">
        <v>152</v>
      </c>
      <c r="F33" s="11" t="s">
        <v>103</v>
      </c>
      <c r="G33" s="11" t="s">
        <v>26</v>
      </c>
      <c r="H33" s="15" t="s">
        <v>33</v>
      </c>
      <c r="I33" s="15"/>
    </row>
    <row r="34" spans="1:9" x14ac:dyDescent="0.25">
      <c r="A34" s="11" t="s">
        <v>153</v>
      </c>
      <c r="B34" s="11" t="s">
        <v>154</v>
      </c>
      <c r="C34" s="11" t="s">
        <v>118</v>
      </c>
      <c r="D34" s="11" t="s">
        <v>17</v>
      </c>
      <c r="E34" s="11" t="s">
        <v>155</v>
      </c>
      <c r="F34" s="11" t="s">
        <v>99</v>
      </c>
      <c r="G34" s="11" t="s">
        <v>26</v>
      </c>
      <c r="H34" s="15" t="s">
        <v>33</v>
      </c>
      <c r="I34" s="15"/>
    </row>
    <row r="35" spans="1:9" x14ac:dyDescent="0.25">
      <c r="A35" s="11" t="s">
        <v>156</v>
      </c>
      <c r="B35" s="11" t="s">
        <v>157</v>
      </c>
      <c r="C35" s="11" t="s">
        <v>118</v>
      </c>
      <c r="D35" s="11" t="s">
        <v>17</v>
      </c>
      <c r="E35" s="11" t="s">
        <v>158</v>
      </c>
      <c r="F35" s="11" t="s">
        <v>86</v>
      </c>
      <c r="G35" s="11" t="s">
        <v>26</v>
      </c>
      <c r="H35" s="15" t="s">
        <v>33</v>
      </c>
      <c r="I35" s="15"/>
    </row>
    <row r="36" spans="1:9" x14ac:dyDescent="0.25">
      <c r="A36" s="11" t="s">
        <v>159</v>
      </c>
      <c r="B36" s="11" t="s">
        <v>160</v>
      </c>
      <c r="C36" s="11" t="s">
        <v>50</v>
      </c>
      <c r="D36" s="11" t="s">
        <v>18</v>
      </c>
      <c r="E36" s="11" t="s">
        <v>161</v>
      </c>
      <c r="F36" s="11" t="s">
        <v>52</v>
      </c>
      <c r="G36" s="11" t="s">
        <v>26</v>
      </c>
      <c r="H36" s="15" t="s">
        <v>33</v>
      </c>
      <c r="I36" s="15"/>
    </row>
    <row r="37" spans="1:9" x14ac:dyDescent="0.25">
      <c r="A37" s="11" t="s">
        <v>162</v>
      </c>
      <c r="B37" s="11" t="s">
        <v>163</v>
      </c>
      <c r="C37" s="11" t="s">
        <v>50</v>
      </c>
      <c r="D37" s="11" t="s">
        <v>18</v>
      </c>
      <c r="E37" s="11" t="s">
        <v>164</v>
      </c>
      <c r="F37" s="11" t="s">
        <v>52</v>
      </c>
      <c r="G37" s="11" t="s">
        <v>26</v>
      </c>
      <c r="H37" s="15" t="s">
        <v>33</v>
      </c>
      <c r="I37" s="15"/>
    </row>
    <row r="38" spans="1:9" x14ac:dyDescent="0.25">
      <c r="A38" s="11" t="s">
        <v>165</v>
      </c>
      <c r="B38" s="11" t="s">
        <v>166</v>
      </c>
      <c r="C38" s="11" t="s">
        <v>55</v>
      </c>
      <c r="D38" s="11" t="s">
        <v>18</v>
      </c>
      <c r="E38" s="11" t="s">
        <v>167</v>
      </c>
      <c r="F38" s="11" t="s">
        <v>86</v>
      </c>
      <c r="G38" s="11" t="s">
        <v>26</v>
      </c>
      <c r="H38" s="15" t="s">
        <v>33</v>
      </c>
      <c r="I38" s="15"/>
    </row>
    <row r="39" spans="1:9" x14ac:dyDescent="0.25">
      <c r="A39" s="11" t="s">
        <v>168</v>
      </c>
      <c r="B39" s="11" t="s">
        <v>169</v>
      </c>
      <c r="C39" s="11" t="s">
        <v>55</v>
      </c>
      <c r="D39" s="11" t="s">
        <v>18</v>
      </c>
      <c r="E39" s="11" t="s">
        <v>170</v>
      </c>
      <c r="F39" s="11" t="s">
        <v>86</v>
      </c>
      <c r="G39" s="11" t="s">
        <v>26</v>
      </c>
      <c r="H39" s="15" t="s">
        <v>33</v>
      </c>
      <c r="I39" s="15"/>
    </row>
    <row r="40" spans="1:9" x14ac:dyDescent="0.25">
      <c r="A40" s="11" t="s">
        <v>171</v>
      </c>
      <c r="B40" s="11" t="s">
        <v>172</v>
      </c>
      <c r="C40" s="11" t="s">
        <v>50</v>
      </c>
      <c r="D40" s="11" t="s">
        <v>18</v>
      </c>
      <c r="E40" s="11" t="s">
        <v>173</v>
      </c>
      <c r="F40" s="11" t="s">
        <v>99</v>
      </c>
      <c r="G40" s="11" t="s">
        <v>26</v>
      </c>
      <c r="H40" s="15" t="s">
        <v>33</v>
      </c>
      <c r="I40" s="15"/>
    </row>
    <row r="41" spans="1:9" x14ac:dyDescent="0.25">
      <c r="A41" s="11" t="s">
        <v>174</v>
      </c>
      <c r="B41" s="11" t="s">
        <v>175</v>
      </c>
      <c r="C41" s="11" t="s">
        <v>55</v>
      </c>
      <c r="D41" s="11" t="s">
        <v>18</v>
      </c>
      <c r="E41" s="11" t="s">
        <v>176</v>
      </c>
      <c r="F41" s="11" t="s">
        <v>86</v>
      </c>
      <c r="G41" s="11" t="s">
        <v>26</v>
      </c>
      <c r="H41" s="15" t="s">
        <v>33</v>
      </c>
      <c r="I41" s="15"/>
    </row>
    <row r="42" spans="1:9" x14ac:dyDescent="0.25">
      <c r="A42" s="11" t="s">
        <v>177</v>
      </c>
      <c r="B42" s="11" t="s">
        <v>178</v>
      </c>
      <c r="C42" s="11" t="s">
        <v>55</v>
      </c>
      <c r="D42" s="11" t="s">
        <v>18</v>
      </c>
      <c r="E42" s="11" t="s">
        <v>179</v>
      </c>
      <c r="F42" s="11" t="s">
        <v>86</v>
      </c>
      <c r="G42" s="11" t="s">
        <v>26</v>
      </c>
      <c r="H42" s="15" t="s">
        <v>33</v>
      </c>
      <c r="I42" s="15"/>
    </row>
    <row r="43" spans="1:9" x14ac:dyDescent="0.25">
      <c r="A43" s="11" t="s">
        <v>180</v>
      </c>
      <c r="B43" s="11" t="s">
        <v>181</v>
      </c>
      <c r="C43" s="11" t="s">
        <v>55</v>
      </c>
      <c r="D43" s="11" t="s">
        <v>18</v>
      </c>
      <c r="E43" s="11" t="s">
        <v>182</v>
      </c>
      <c r="F43" s="11" t="s">
        <v>86</v>
      </c>
      <c r="G43" s="11" t="s">
        <v>26</v>
      </c>
      <c r="H43" s="15" t="s">
        <v>33</v>
      </c>
      <c r="I43" s="15"/>
    </row>
    <row r="44" spans="1:9" x14ac:dyDescent="0.25">
      <c r="A44" s="11" t="s">
        <v>183</v>
      </c>
      <c r="B44" s="11" t="s">
        <v>184</v>
      </c>
      <c r="C44" s="11" t="s">
        <v>59</v>
      </c>
      <c r="D44" s="11" t="s">
        <v>18</v>
      </c>
      <c r="E44" s="11" t="s">
        <v>185</v>
      </c>
      <c r="F44" s="11" t="s">
        <v>99</v>
      </c>
      <c r="G44" s="11" t="s">
        <v>26</v>
      </c>
      <c r="H44" s="15" t="s">
        <v>36</v>
      </c>
      <c r="I44" s="15"/>
    </row>
    <row r="45" spans="1:9" x14ac:dyDescent="0.25">
      <c r="A45" s="11" t="s">
        <v>186</v>
      </c>
      <c r="B45" s="11" t="s">
        <v>187</v>
      </c>
      <c r="C45" s="11" t="s">
        <v>50</v>
      </c>
      <c r="D45" s="11" t="s">
        <v>18</v>
      </c>
      <c r="E45" s="11" t="s">
        <v>188</v>
      </c>
      <c r="F45" s="11" t="s">
        <v>86</v>
      </c>
      <c r="G45" s="11" t="s">
        <v>26</v>
      </c>
      <c r="H45" s="15" t="s">
        <v>33</v>
      </c>
      <c r="I45" s="15"/>
    </row>
    <row r="46" spans="1:9" x14ac:dyDescent="0.25">
      <c r="A46" s="11" t="s">
        <v>189</v>
      </c>
      <c r="B46" s="11" t="s">
        <v>190</v>
      </c>
      <c r="C46" s="11" t="s">
        <v>59</v>
      </c>
      <c r="D46" s="11" t="s">
        <v>18</v>
      </c>
      <c r="E46" s="11" t="s">
        <v>191</v>
      </c>
      <c r="F46" s="11" t="s">
        <v>99</v>
      </c>
      <c r="G46" s="11" t="s">
        <v>26</v>
      </c>
      <c r="H46" s="15" t="s">
        <v>33</v>
      </c>
      <c r="I46" s="15"/>
    </row>
    <row r="47" spans="1:9" x14ac:dyDescent="0.25">
      <c r="A47" s="11" t="s">
        <v>192</v>
      </c>
      <c r="B47" s="11" t="s">
        <v>193</v>
      </c>
      <c r="C47" s="11" t="s">
        <v>50</v>
      </c>
      <c r="D47" s="11" t="s">
        <v>18</v>
      </c>
      <c r="E47" s="11" t="s">
        <v>194</v>
      </c>
      <c r="F47" s="11" t="s">
        <v>86</v>
      </c>
      <c r="G47" s="11" t="s">
        <v>26</v>
      </c>
      <c r="H47" s="15" t="s">
        <v>34</v>
      </c>
      <c r="I47" s="15"/>
    </row>
    <row r="48" spans="1:9" x14ac:dyDescent="0.25">
      <c r="A48" s="11" t="s">
        <v>195</v>
      </c>
      <c r="B48" s="11" t="s">
        <v>196</v>
      </c>
      <c r="C48" s="11" t="s">
        <v>50</v>
      </c>
      <c r="D48" s="11" t="s">
        <v>18</v>
      </c>
      <c r="E48" s="11" t="s">
        <v>197</v>
      </c>
      <c r="F48" s="11" t="s">
        <v>86</v>
      </c>
      <c r="G48" s="11" t="s">
        <v>26</v>
      </c>
      <c r="H48" s="15" t="s">
        <v>33</v>
      </c>
      <c r="I48" s="16"/>
    </row>
    <row r="49" spans="1:9" x14ac:dyDescent="0.25">
      <c r="A49" s="11" t="s">
        <v>198</v>
      </c>
      <c r="B49" s="11" t="s">
        <v>199</v>
      </c>
      <c r="C49" s="11" t="s">
        <v>118</v>
      </c>
      <c r="D49" s="11" t="s">
        <v>18</v>
      </c>
      <c r="E49" s="11" t="s">
        <v>200</v>
      </c>
      <c r="F49" s="11" t="s">
        <v>52</v>
      </c>
      <c r="G49" s="11" t="s">
        <v>26</v>
      </c>
      <c r="H49" s="15" t="s">
        <v>33</v>
      </c>
      <c r="I49" s="15"/>
    </row>
    <row r="50" spans="1:9" x14ac:dyDescent="0.25">
      <c r="A50" s="11" t="s">
        <v>201</v>
      </c>
      <c r="B50" s="11" t="s">
        <v>202</v>
      </c>
      <c r="C50" s="11" t="s">
        <v>50</v>
      </c>
      <c r="D50" s="11" t="s">
        <v>19</v>
      </c>
      <c r="E50" s="11" t="s">
        <v>203</v>
      </c>
      <c r="F50" s="11" t="s">
        <v>52</v>
      </c>
      <c r="G50" s="11" t="s">
        <v>26</v>
      </c>
      <c r="H50" s="15" t="s">
        <v>33</v>
      </c>
      <c r="I50" s="15"/>
    </row>
    <row r="51" spans="1:9" x14ac:dyDescent="0.25">
      <c r="A51" s="11" t="s">
        <v>204</v>
      </c>
      <c r="B51" s="11" t="s">
        <v>205</v>
      </c>
      <c r="C51" s="11" t="s">
        <v>50</v>
      </c>
      <c r="D51" s="11" t="s">
        <v>19</v>
      </c>
      <c r="E51" s="11" t="s">
        <v>206</v>
      </c>
      <c r="F51" s="11" t="s">
        <v>52</v>
      </c>
      <c r="G51" s="11" t="s">
        <v>26</v>
      </c>
      <c r="H51" s="15" t="s">
        <v>33</v>
      </c>
      <c r="I51" s="15"/>
    </row>
    <row r="52" spans="1:9" x14ac:dyDescent="0.25">
      <c r="A52" s="11" t="s">
        <v>207</v>
      </c>
      <c r="B52" s="11" t="s">
        <v>208</v>
      </c>
      <c r="C52" s="11" t="s">
        <v>50</v>
      </c>
      <c r="D52" s="11" t="s">
        <v>19</v>
      </c>
      <c r="E52" s="11" t="s">
        <v>209</v>
      </c>
      <c r="F52" s="11" t="s">
        <v>103</v>
      </c>
      <c r="G52" s="11" t="s">
        <v>26</v>
      </c>
      <c r="H52" s="15" t="s">
        <v>33</v>
      </c>
      <c r="I52" s="15"/>
    </row>
    <row r="53" spans="1:9" x14ac:dyDescent="0.25">
      <c r="A53" s="11" t="s">
        <v>210</v>
      </c>
      <c r="B53" s="11" t="s">
        <v>211</v>
      </c>
      <c r="C53" s="11" t="s">
        <v>59</v>
      </c>
      <c r="D53" s="11" t="s">
        <v>19</v>
      </c>
      <c r="E53" s="11" t="s">
        <v>212</v>
      </c>
      <c r="F53" s="11" t="s">
        <v>103</v>
      </c>
      <c r="G53" s="11" t="s">
        <v>26</v>
      </c>
      <c r="H53" s="15" t="s">
        <v>33</v>
      </c>
      <c r="I53" s="15"/>
    </row>
    <row r="54" spans="1:9" x14ac:dyDescent="0.25">
      <c r="A54" s="11" t="s">
        <v>213</v>
      </c>
      <c r="B54" s="11" t="s">
        <v>214</v>
      </c>
      <c r="C54" s="11" t="s">
        <v>55</v>
      </c>
      <c r="D54" s="11" t="s">
        <v>19</v>
      </c>
      <c r="E54" s="11" t="s">
        <v>215</v>
      </c>
      <c r="F54" s="11" t="s">
        <v>103</v>
      </c>
      <c r="G54" s="11" t="s">
        <v>26</v>
      </c>
      <c r="H54" s="15" t="s">
        <v>33</v>
      </c>
      <c r="I54" s="15"/>
    </row>
    <row r="55" spans="1:9" x14ac:dyDescent="0.25">
      <c r="A55" s="11" t="s">
        <v>216</v>
      </c>
      <c r="B55" s="11" t="s">
        <v>217</v>
      </c>
      <c r="C55" s="11" t="s">
        <v>50</v>
      </c>
      <c r="D55" s="11" t="s">
        <v>19</v>
      </c>
      <c r="E55" s="11" t="s">
        <v>218</v>
      </c>
      <c r="F55" s="11" t="s">
        <v>103</v>
      </c>
      <c r="G55" s="11" t="s">
        <v>26</v>
      </c>
      <c r="H55" s="15" t="s">
        <v>33</v>
      </c>
      <c r="I55" s="15"/>
    </row>
    <row r="56" spans="1:9" x14ac:dyDescent="0.25">
      <c r="A56" s="11" t="s">
        <v>219</v>
      </c>
      <c r="B56" s="11" t="s">
        <v>220</v>
      </c>
      <c r="C56" s="11" t="s">
        <v>55</v>
      </c>
      <c r="D56" s="11" t="s">
        <v>19</v>
      </c>
      <c r="E56" s="11" t="s">
        <v>221</v>
      </c>
      <c r="F56" s="11" t="s">
        <v>103</v>
      </c>
      <c r="G56" s="11" t="s">
        <v>26</v>
      </c>
      <c r="H56" s="15" t="s">
        <v>33</v>
      </c>
      <c r="I56" s="15"/>
    </row>
    <row r="57" spans="1:9" x14ac:dyDescent="0.25">
      <c r="A57" s="11" t="s">
        <v>222</v>
      </c>
      <c r="B57" s="11" t="s">
        <v>223</v>
      </c>
      <c r="C57" s="11" t="s">
        <v>55</v>
      </c>
      <c r="D57" s="11" t="s">
        <v>19</v>
      </c>
      <c r="E57" s="17" t="s">
        <v>224</v>
      </c>
      <c r="F57" s="11" t="s">
        <v>103</v>
      </c>
      <c r="G57" s="11" t="s">
        <v>26</v>
      </c>
      <c r="H57" s="15" t="s">
        <v>33</v>
      </c>
      <c r="I57" s="15"/>
    </row>
    <row r="58" spans="1:9" x14ac:dyDescent="0.25">
      <c r="A58" s="11" t="s">
        <v>225</v>
      </c>
      <c r="B58" s="11" t="s">
        <v>226</v>
      </c>
      <c r="C58" s="11" t="s">
        <v>55</v>
      </c>
      <c r="D58" s="11" t="s">
        <v>19</v>
      </c>
      <c r="E58" s="11" t="s">
        <v>227</v>
      </c>
      <c r="F58" s="11" t="s">
        <v>103</v>
      </c>
      <c r="G58" s="11" t="s">
        <v>26</v>
      </c>
      <c r="H58" s="15" t="s">
        <v>33</v>
      </c>
      <c r="I58" s="15"/>
    </row>
    <row r="59" spans="1:9" x14ac:dyDescent="0.25">
      <c r="A59" s="11" t="s">
        <v>228</v>
      </c>
      <c r="B59" s="11" t="s">
        <v>229</v>
      </c>
      <c r="C59" s="11" t="s">
        <v>55</v>
      </c>
      <c r="D59" s="11" t="s">
        <v>19</v>
      </c>
      <c r="E59" s="11" t="s">
        <v>230</v>
      </c>
      <c r="F59" s="11" t="s">
        <v>52</v>
      </c>
      <c r="G59" s="11" t="s">
        <v>26</v>
      </c>
      <c r="H59" s="15" t="s">
        <v>33</v>
      </c>
      <c r="I59" s="15"/>
    </row>
    <row r="60" spans="1:9" x14ac:dyDescent="0.25">
      <c r="A60" s="11" t="s">
        <v>231</v>
      </c>
      <c r="B60" s="11" t="s">
        <v>232</v>
      </c>
      <c r="C60" s="11" t="s">
        <v>59</v>
      </c>
      <c r="D60" s="11" t="s">
        <v>19</v>
      </c>
      <c r="E60" s="11" t="s">
        <v>233</v>
      </c>
      <c r="F60" s="11" t="s">
        <v>99</v>
      </c>
      <c r="G60" s="11" t="s">
        <v>26</v>
      </c>
      <c r="H60" s="15" t="s">
        <v>33</v>
      </c>
      <c r="I60" s="15"/>
    </row>
    <row r="61" spans="1:9" x14ac:dyDescent="0.25">
      <c r="A61" s="11" t="s">
        <v>234</v>
      </c>
      <c r="B61" s="11" t="s">
        <v>235</v>
      </c>
      <c r="C61" s="11" t="s">
        <v>55</v>
      </c>
      <c r="D61" s="11" t="s">
        <v>19</v>
      </c>
      <c r="E61" s="11" t="s">
        <v>236</v>
      </c>
      <c r="F61" s="11" t="s">
        <v>103</v>
      </c>
      <c r="G61" s="11" t="s">
        <v>26</v>
      </c>
      <c r="H61" s="15" t="s">
        <v>33</v>
      </c>
      <c r="I61" s="15"/>
    </row>
    <row r="62" spans="1:9" x14ac:dyDescent="0.25">
      <c r="A62" s="11" t="s">
        <v>237</v>
      </c>
      <c r="B62" s="11" t="s">
        <v>238</v>
      </c>
      <c r="C62" s="11" t="s">
        <v>118</v>
      </c>
      <c r="D62" s="11" t="s">
        <v>19</v>
      </c>
      <c r="E62" s="11" t="s">
        <v>239</v>
      </c>
      <c r="F62" s="11" t="s">
        <v>52</v>
      </c>
      <c r="G62" s="11" t="s">
        <v>26</v>
      </c>
      <c r="H62" s="15" t="s">
        <v>33</v>
      </c>
      <c r="I62" s="15"/>
    </row>
    <row r="63" spans="1:9" x14ac:dyDescent="0.25">
      <c r="A63" s="11" t="s">
        <v>240</v>
      </c>
      <c r="B63" s="11" t="s">
        <v>241</v>
      </c>
      <c r="C63" s="11" t="s">
        <v>50</v>
      </c>
      <c r="D63" s="11" t="s">
        <v>20</v>
      </c>
      <c r="E63" s="11" t="s">
        <v>242</v>
      </c>
      <c r="F63" s="11" t="s">
        <v>52</v>
      </c>
      <c r="G63" s="11" t="s">
        <v>26</v>
      </c>
      <c r="H63" s="15" t="s">
        <v>33</v>
      </c>
      <c r="I63" s="15"/>
    </row>
    <row r="64" spans="1:9" x14ac:dyDescent="0.25">
      <c r="A64" s="11" t="s">
        <v>243</v>
      </c>
      <c r="B64" s="11" t="s">
        <v>244</v>
      </c>
      <c r="C64" s="11" t="s">
        <v>50</v>
      </c>
      <c r="D64" s="11" t="s">
        <v>20</v>
      </c>
      <c r="E64" s="11" t="s">
        <v>245</v>
      </c>
      <c r="F64" s="11" t="s">
        <v>52</v>
      </c>
      <c r="G64" s="11" t="s">
        <v>26</v>
      </c>
      <c r="H64" s="15" t="s">
        <v>33</v>
      </c>
      <c r="I64" s="15"/>
    </row>
    <row r="65" spans="1:9" x14ac:dyDescent="0.25">
      <c r="A65" s="11" t="s">
        <v>246</v>
      </c>
      <c r="B65" s="11" t="s">
        <v>247</v>
      </c>
      <c r="C65" s="11" t="s">
        <v>50</v>
      </c>
      <c r="D65" s="11" t="s">
        <v>20</v>
      </c>
      <c r="E65" s="11" t="s">
        <v>248</v>
      </c>
      <c r="F65" s="11" t="s">
        <v>86</v>
      </c>
      <c r="G65" s="11" t="s">
        <v>26</v>
      </c>
      <c r="H65" s="15" t="s">
        <v>33</v>
      </c>
      <c r="I65" s="15"/>
    </row>
    <row r="66" spans="1:9" x14ac:dyDescent="0.25">
      <c r="A66" s="11" t="s">
        <v>249</v>
      </c>
      <c r="B66" s="11" t="s">
        <v>250</v>
      </c>
      <c r="C66" s="11" t="s">
        <v>59</v>
      </c>
      <c r="D66" s="11" t="s">
        <v>20</v>
      </c>
      <c r="E66" s="11" t="s">
        <v>251</v>
      </c>
      <c r="F66" s="11" t="s">
        <v>103</v>
      </c>
      <c r="G66" s="11" t="s">
        <v>26</v>
      </c>
      <c r="H66" s="15" t="s">
        <v>33</v>
      </c>
      <c r="I66" s="15"/>
    </row>
    <row r="67" spans="1:9" x14ac:dyDescent="0.25">
      <c r="A67" s="11" t="s">
        <v>252</v>
      </c>
      <c r="B67" s="11" t="s">
        <v>253</v>
      </c>
      <c r="C67" s="11" t="s">
        <v>55</v>
      </c>
      <c r="D67" s="11" t="s">
        <v>20</v>
      </c>
      <c r="E67" s="11" t="s">
        <v>254</v>
      </c>
      <c r="F67" s="11" t="s">
        <v>103</v>
      </c>
      <c r="G67" s="11" t="s">
        <v>26</v>
      </c>
      <c r="H67" s="15" t="s">
        <v>33</v>
      </c>
      <c r="I67" s="15"/>
    </row>
    <row r="68" spans="1:9" x14ac:dyDescent="0.25">
      <c r="A68" s="18" t="s">
        <v>551</v>
      </c>
      <c r="B68" s="18" t="s">
        <v>552</v>
      </c>
      <c r="C68" s="18" t="s">
        <v>59</v>
      </c>
      <c r="D68" s="11" t="s">
        <v>17</v>
      </c>
      <c r="E68" s="18" t="s">
        <v>550</v>
      </c>
      <c r="F68" s="11" t="s">
        <v>103</v>
      </c>
      <c r="G68" s="11" t="s">
        <v>26</v>
      </c>
      <c r="H68" s="15" t="s">
        <v>33</v>
      </c>
      <c r="I68" s="15"/>
    </row>
  </sheetData>
  <autoFilter ref="A1:I68" xr:uid="{00000000-0009-0000-0000-000002000000}"/>
  <conditionalFormatting sqref="A2:G67 A68:B68 E68:G68">
    <cfRule type="expression" dxfId="15" priority="6">
      <formula>$G2="Există"</formula>
    </cfRule>
  </conditionalFormatting>
  <conditionalFormatting sqref="D68">
    <cfRule type="expression" dxfId="10" priority="1">
      <formula>$G68="Există"</formula>
    </cfRule>
  </conditionalFormatting>
  <dataValidations count="1">
    <dataValidation type="list" allowBlank="1" sqref="H2:H68" xr:uid="{00000000-0002-0000-0200-000000000000}">
      <formula1>"DA,NU,MODIFIC,DE DISCUTAT"</formula1>
    </dataValidation>
  </dataValidations>
  <pageMargins left="0.75" right="0.75" top="1" bottom="1" header="0.5" footer="0.5"/>
  <pageSetup orientation="portrait" r:id="rId1"/>
  <extLst>
    <ext xmlns:x14="http://schemas.microsoft.com/office/spreadsheetml/2009/9/main" uri="{78C0D931-6437-407d-A8EE-F0AAD7539E65}">
      <x14:conditionalFormattings>
        <x14:conditionalFormatting xmlns:xm="http://schemas.microsoft.com/office/excel/2006/main">
          <x14:cfRule type="containsText" priority="2" operator="containsText" id="{3DA791EE-AFD7-41FF-8078-D665E5E17440}">
            <xm:f>NOT(ISERROR(SEARCH($C$22,C1)))</xm:f>
            <xm:f>$C$22</xm:f>
            <x14:dxf>
              <fill>
                <patternFill>
                  <bgColor rgb="FFFFFF00"/>
                </patternFill>
              </fill>
            </x14:dxf>
          </x14:cfRule>
          <x14:cfRule type="containsText" priority="3" operator="containsText" id="{E58ACE87-94BE-4380-9596-E84C9C6E89B2}">
            <xm:f>NOT(ISERROR(SEARCH($C$4,C1)))</xm:f>
            <xm:f>$C$4</xm:f>
            <x14:dxf>
              <fill>
                <patternFill>
                  <bgColor theme="7"/>
                </patternFill>
              </fill>
            </x14:dxf>
          </x14:cfRule>
          <x14:cfRule type="containsText" priority="4" operator="containsText" id="{2838D7D0-16B6-4DB9-A205-CD6006DC0924}">
            <xm:f>NOT(ISERROR(SEARCH($C$3,C1)))</xm:f>
            <xm:f>$C$3</xm:f>
            <x14:dxf>
              <fill>
                <patternFill>
                  <bgColor theme="3" tint="0.59996337778862885"/>
                </patternFill>
              </fill>
            </x14:dxf>
          </x14:cfRule>
          <x14:cfRule type="containsText" priority="5" operator="containsText" id="{BAF0557C-E66A-4936-966F-DC94751E3A42}">
            <xm:f>NOT(ISERROR(SEARCH($C$2,C1)))</xm:f>
            <xm:f>$C$2</xm:f>
            <x14:dxf>
              <fill>
                <patternFill>
                  <bgColor theme="0" tint="-0.24994659260841701"/>
                </patternFill>
              </fill>
            </x14:dxf>
          </x14:cfRule>
          <xm:sqref>C1:C1048576</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31"/>
  <sheetViews>
    <sheetView workbookViewId="0">
      <pane xSplit="2" ySplit="1" topLeftCell="C2" activePane="bottomRight" state="frozen"/>
      <selection pane="topRight"/>
      <selection pane="bottomLeft"/>
      <selection pane="bottomRight" activeCell="D34" sqref="D34"/>
    </sheetView>
  </sheetViews>
  <sheetFormatPr defaultRowHeight="15" x14ac:dyDescent="0.25"/>
  <cols>
    <col min="1" max="1" width="20" customWidth="1"/>
    <col min="2" max="2" width="24" customWidth="1"/>
    <col min="3" max="3" width="20" customWidth="1"/>
    <col min="4" max="4" width="62" customWidth="1"/>
    <col min="5" max="5" width="22" customWidth="1"/>
    <col min="6" max="6" width="20" customWidth="1"/>
    <col min="7" max="7" width="24" customWidth="1"/>
    <col min="8" max="8" width="10" customWidth="1"/>
    <col min="9" max="9" width="14" customWidth="1"/>
    <col min="10" max="10" width="40" customWidth="1"/>
  </cols>
  <sheetData>
    <row r="1" spans="1:10" ht="30" customHeight="1" x14ac:dyDescent="0.25">
      <c r="A1" s="8" t="s">
        <v>40</v>
      </c>
      <c r="B1" s="8" t="s">
        <v>41</v>
      </c>
      <c r="C1" s="8" t="s">
        <v>11</v>
      </c>
      <c r="D1" s="8" t="s">
        <v>255</v>
      </c>
      <c r="E1" s="8" t="s">
        <v>256</v>
      </c>
      <c r="F1" s="8" t="s">
        <v>257</v>
      </c>
      <c r="G1" s="8" t="s">
        <v>44</v>
      </c>
      <c r="H1" s="8" t="s">
        <v>45</v>
      </c>
      <c r="I1" s="8" t="s">
        <v>46</v>
      </c>
      <c r="J1" s="8" t="s">
        <v>47</v>
      </c>
    </row>
    <row r="2" spans="1:10" x14ac:dyDescent="0.25">
      <c r="A2" s="9" t="s">
        <v>258</v>
      </c>
      <c r="B2" s="9" t="s">
        <v>259</v>
      </c>
      <c r="C2" s="9" t="s">
        <v>19</v>
      </c>
      <c r="D2" s="9" t="s">
        <v>260</v>
      </c>
      <c r="E2" s="9" t="s">
        <v>261</v>
      </c>
      <c r="F2" s="9" t="s">
        <v>262</v>
      </c>
      <c r="G2" s="9" t="s">
        <v>52</v>
      </c>
      <c r="H2" s="9" t="s">
        <v>25</v>
      </c>
      <c r="I2" s="10" t="s">
        <v>33</v>
      </c>
      <c r="J2" s="10"/>
    </row>
    <row r="3" spans="1:10" x14ac:dyDescent="0.25">
      <c r="A3" s="9" t="s">
        <v>263</v>
      </c>
      <c r="B3" s="9" t="s">
        <v>264</v>
      </c>
      <c r="C3" s="9" t="s">
        <v>20</v>
      </c>
      <c r="D3" s="9" t="s">
        <v>265</v>
      </c>
      <c r="E3" s="9" t="s">
        <v>266</v>
      </c>
      <c r="F3" s="9" t="s">
        <v>262</v>
      </c>
      <c r="G3" s="9" t="s">
        <v>52</v>
      </c>
      <c r="H3" s="9" t="s">
        <v>25</v>
      </c>
      <c r="I3" s="10" t="s">
        <v>33</v>
      </c>
      <c r="J3" s="12" t="s">
        <v>554</v>
      </c>
    </row>
    <row r="4" spans="1:10" x14ac:dyDescent="0.25">
      <c r="A4" s="9" t="s">
        <v>267</v>
      </c>
      <c r="B4" s="9" t="s">
        <v>268</v>
      </c>
      <c r="C4" s="9" t="s">
        <v>17</v>
      </c>
      <c r="D4" s="9" t="s">
        <v>269</v>
      </c>
      <c r="E4" s="9" t="s">
        <v>266</v>
      </c>
      <c r="F4" s="9" t="s">
        <v>270</v>
      </c>
      <c r="G4" s="9" t="s">
        <v>52</v>
      </c>
      <c r="H4" s="9" t="s">
        <v>25</v>
      </c>
      <c r="I4" s="10" t="s">
        <v>33</v>
      </c>
      <c r="J4" s="10"/>
    </row>
    <row r="5" spans="1:10" x14ac:dyDescent="0.25">
      <c r="A5" s="9" t="s">
        <v>271</v>
      </c>
      <c r="B5" s="9" t="s">
        <v>272</v>
      </c>
      <c r="C5" s="9" t="s">
        <v>16</v>
      </c>
      <c r="D5" s="9" t="s">
        <v>273</v>
      </c>
      <c r="E5" s="9" t="s">
        <v>274</v>
      </c>
      <c r="F5" s="9" t="s">
        <v>262</v>
      </c>
      <c r="G5" s="9" t="s">
        <v>99</v>
      </c>
      <c r="H5" s="9" t="s">
        <v>26</v>
      </c>
      <c r="I5" s="10" t="s">
        <v>33</v>
      </c>
      <c r="J5" s="12" t="s">
        <v>555</v>
      </c>
    </row>
    <row r="6" spans="1:10" x14ac:dyDescent="0.25">
      <c r="A6" s="9" t="s">
        <v>275</v>
      </c>
      <c r="B6" s="9" t="s">
        <v>276</v>
      </c>
      <c r="C6" s="9" t="s">
        <v>17</v>
      </c>
      <c r="D6" s="9" t="s">
        <v>277</v>
      </c>
      <c r="E6" s="9" t="s">
        <v>278</v>
      </c>
      <c r="F6" s="9" t="s">
        <v>262</v>
      </c>
      <c r="G6" s="9" t="s">
        <v>99</v>
      </c>
      <c r="H6" s="9" t="s">
        <v>26</v>
      </c>
      <c r="I6" s="10" t="s">
        <v>33</v>
      </c>
      <c r="J6" s="10"/>
    </row>
    <row r="7" spans="1:10" x14ac:dyDescent="0.25">
      <c r="A7" s="9" t="s">
        <v>279</v>
      </c>
      <c r="B7" s="9" t="s">
        <v>280</v>
      </c>
      <c r="C7" s="9" t="s">
        <v>19</v>
      </c>
      <c r="D7" s="9" t="s">
        <v>281</v>
      </c>
      <c r="E7" s="9" t="s">
        <v>282</v>
      </c>
      <c r="F7" s="9" t="s">
        <v>262</v>
      </c>
      <c r="G7" s="9" t="s">
        <v>99</v>
      </c>
      <c r="H7" s="9" t="s">
        <v>26</v>
      </c>
      <c r="I7" s="10" t="s">
        <v>33</v>
      </c>
      <c r="J7" s="10"/>
    </row>
    <row r="8" spans="1:10" x14ac:dyDescent="0.25">
      <c r="A8" s="9" t="s">
        <v>283</v>
      </c>
      <c r="B8" s="9" t="s">
        <v>284</v>
      </c>
      <c r="C8" s="9" t="s">
        <v>16</v>
      </c>
      <c r="D8" s="13" t="s">
        <v>556</v>
      </c>
      <c r="E8" s="9" t="s">
        <v>285</v>
      </c>
      <c r="F8" s="9" t="s">
        <v>262</v>
      </c>
      <c r="G8" s="9" t="s">
        <v>103</v>
      </c>
      <c r="H8" s="9" t="s">
        <v>26</v>
      </c>
      <c r="I8" s="10" t="s">
        <v>33</v>
      </c>
      <c r="J8" s="10"/>
    </row>
    <row r="9" spans="1:10" x14ac:dyDescent="0.25">
      <c r="A9" s="9" t="s">
        <v>286</v>
      </c>
      <c r="B9" s="9" t="s">
        <v>287</v>
      </c>
      <c r="C9" s="9" t="s">
        <v>18</v>
      </c>
      <c r="D9" s="9" t="s">
        <v>288</v>
      </c>
      <c r="E9" s="9" t="s">
        <v>289</v>
      </c>
      <c r="F9" s="9" t="s">
        <v>262</v>
      </c>
      <c r="G9" s="9" t="s">
        <v>99</v>
      </c>
      <c r="H9" s="9" t="s">
        <v>26</v>
      </c>
      <c r="I9" s="10" t="s">
        <v>33</v>
      </c>
      <c r="J9" s="10"/>
    </row>
    <row r="10" spans="1:10" x14ac:dyDescent="0.25">
      <c r="A10" s="9" t="s">
        <v>290</v>
      </c>
      <c r="B10" s="9" t="s">
        <v>291</v>
      </c>
      <c r="C10" s="9" t="s">
        <v>18</v>
      </c>
      <c r="D10" s="9" t="s">
        <v>292</v>
      </c>
      <c r="E10" s="9" t="s">
        <v>29</v>
      </c>
      <c r="F10" s="9" t="s">
        <v>262</v>
      </c>
      <c r="G10" s="9" t="s">
        <v>99</v>
      </c>
      <c r="H10" s="9" t="s">
        <v>26</v>
      </c>
      <c r="I10" s="10" t="s">
        <v>33</v>
      </c>
      <c r="J10" s="10"/>
    </row>
    <row r="11" spans="1:10" x14ac:dyDescent="0.25">
      <c r="A11" s="9" t="s">
        <v>293</v>
      </c>
      <c r="B11" s="9" t="s">
        <v>294</v>
      </c>
      <c r="C11" s="9" t="s">
        <v>18</v>
      </c>
      <c r="D11" s="9" t="s">
        <v>295</v>
      </c>
      <c r="E11" s="9" t="s">
        <v>296</v>
      </c>
      <c r="F11" s="9" t="s">
        <v>262</v>
      </c>
      <c r="G11" s="9" t="s">
        <v>99</v>
      </c>
      <c r="H11" s="9" t="s">
        <v>26</v>
      </c>
      <c r="I11" s="10" t="s">
        <v>33</v>
      </c>
      <c r="J11" s="10"/>
    </row>
    <row r="12" spans="1:10" x14ac:dyDescent="0.25">
      <c r="A12" s="9" t="s">
        <v>297</v>
      </c>
      <c r="B12" s="9" t="s">
        <v>298</v>
      </c>
      <c r="C12" s="9" t="s">
        <v>16</v>
      </c>
      <c r="D12" s="9" t="s">
        <v>299</v>
      </c>
      <c r="E12" s="9" t="s">
        <v>274</v>
      </c>
      <c r="F12" s="9" t="s">
        <v>262</v>
      </c>
      <c r="G12" s="9" t="s">
        <v>99</v>
      </c>
      <c r="H12" s="9" t="s">
        <v>26</v>
      </c>
      <c r="I12" s="10" t="s">
        <v>33</v>
      </c>
      <c r="J12" s="10"/>
    </row>
    <row r="13" spans="1:10" x14ac:dyDescent="0.25">
      <c r="A13" s="9" t="s">
        <v>300</v>
      </c>
      <c r="B13" s="9" t="s">
        <v>301</v>
      </c>
      <c r="C13" s="9" t="s">
        <v>16</v>
      </c>
      <c r="D13" s="9" t="s">
        <v>302</v>
      </c>
      <c r="E13" s="9" t="s">
        <v>274</v>
      </c>
      <c r="F13" s="9" t="s">
        <v>262</v>
      </c>
      <c r="G13" s="9" t="s">
        <v>99</v>
      </c>
      <c r="H13" s="9" t="s">
        <v>26</v>
      </c>
      <c r="I13" s="10" t="s">
        <v>33</v>
      </c>
      <c r="J13" s="10"/>
    </row>
    <row r="14" spans="1:10" x14ac:dyDescent="0.25">
      <c r="A14" s="9" t="s">
        <v>303</v>
      </c>
      <c r="B14" s="9" t="s">
        <v>304</v>
      </c>
      <c r="C14" s="9" t="s">
        <v>19</v>
      </c>
      <c r="D14" s="9" t="s">
        <v>305</v>
      </c>
      <c r="E14" s="9" t="s">
        <v>306</v>
      </c>
      <c r="F14" s="9" t="s">
        <v>262</v>
      </c>
      <c r="G14" s="9" t="s">
        <v>103</v>
      </c>
      <c r="H14" s="9" t="s">
        <v>26</v>
      </c>
      <c r="I14" s="10" t="s">
        <v>33</v>
      </c>
      <c r="J14" s="10"/>
    </row>
    <row r="15" spans="1:10" x14ac:dyDescent="0.25">
      <c r="A15" s="9" t="s">
        <v>307</v>
      </c>
      <c r="B15" s="9" t="s">
        <v>308</v>
      </c>
      <c r="C15" s="9" t="s">
        <v>16</v>
      </c>
      <c r="D15" s="9" t="s">
        <v>309</v>
      </c>
      <c r="E15" s="9" t="s">
        <v>261</v>
      </c>
      <c r="F15" s="9" t="s">
        <v>262</v>
      </c>
      <c r="G15" s="9" t="s">
        <v>103</v>
      </c>
      <c r="H15" s="9" t="s">
        <v>26</v>
      </c>
      <c r="I15" s="10" t="s">
        <v>34</v>
      </c>
      <c r="J15" s="10"/>
    </row>
    <row r="16" spans="1:10" x14ac:dyDescent="0.25">
      <c r="A16" s="9" t="s">
        <v>310</v>
      </c>
      <c r="B16" s="9" t="s">
        <v>311</v>
      </c>
      <c r="C16" s="9" t="s">
        <v>19</v>
      </c>
      <c r="D16" s="9" t="s">
        <v>312</v>
      </c>
      <c r="E16" s="9" t="s">
        <v>313</v>
      </c>
      <c r="F16" s="9" t="s">
        <v>262</v>
      </c>
      <c r="G16" s="9" t="s">
        <v>103</v>
      </c>
      <c r="H16" s="9" t="s">
        <v>26</v>
      </c>
      <c r="I16" s="10" t="s">
        <v>33</v>
      </c>
      <c r="J16" s="10"/>
    </row>
    <row r="17" spans="1:10" x14ac:dyDescent="0.25">
      <c r="A17" s="9" t="s">
        <v>314</v>
      </c>
      <c r="B17" s="9" t="s">
        <v>315</v>
      </c>
      <c r="C17" s="9" t="s">
        <v>18</v>
      </c>
      <c r="D17" s="9" t="s">
        <v>316</v>
      </c>
      <c r="E17" s="9" t="s">
        <v>317</v>
      </c>
      <c r="F17" s="9" t="s">
        <v>262</v>
      </c>
      <c r="G17" s="9" t="s">
        <v>99</v>
      </c>
      <c r="H17" s="9" t="s">
        <v>26</v>
      </c>
      <c r="I17" s="10" t="s">
        <v>33</v>
      </c>
      <c r="J17" s="10"/>
    </row>
    <row r="18" spans="1:10" ht="25.5" x14ac:dyDescent="0.25">
      <c r="A18" s="9" t="s">
        <v>318</v>
      </c>
      <c r="B18" s="9" t="s">
        <v>319</v>
      </c>
      <c r="C18" s="13" t="s">
        <v>561</v>
      </c>
      <c r="D18" s="13" t="s">
        <v>560</v>
      </c>
      <c r="E18" s="9" t="s">
        <v>278</v>
      </c>
      <c r="F18" s="9" t="s">
        <v>262</v>
      </c>
      <c r="G18" s="9" t="s">
        <v>103</v>
      </c>
      <c r="H18" s="9" t="s">
        <v>26</v>
      </c>
      <c r="I18" s="10" t="s">
        <v>33</v>
      </c>
      <c r="J18" s="10"/>
    </row>
    <row r="19" spans="1:10" x14ac:dyDescent="0.25">
      <c r="A19" s="9" t="s">
        <v>320</v>
      </c>
      <c r="B19" s="9" t="s">
        <v>321</v>
      </c>
      <c r="C19" s="9" t="s">
        <v>16</v>
      </c>
      <c r="D19" s="9" t="s">
        <v>322</v>
      </c>
      <c r="E19" s="9" t="s">
        <v>323</v>
      </c>
      <c r="F19" s="9" t="s">
        <v>262</v>
      </c>
      <c r="G19" s="9" t="s">
        <v>103</v>
      </c>
      <c r="H19" s="9" t="s">
        <v>26</v>
      </c>
      <c r="I19" s="10" t="s">
        <v>33</v>
      </c>
      <c r="J19" s="12" t="s">
        <v>562</v>
      </c>
    </row>
    <row r="20" spans="1:10" x14ac:dyDescent="0.25">
      <c r="A20" s="9" t="s">
        <v>324</v>
      </c>
      <c r="B20" s="9" t="s">
        <v>325</v>
      </c>
      <c r="C20" s="9" t="s">
        <v>17</v>
      </c>
      <c r="D20" s="9" t="s">
        <v>326</v>
      </c>
      <c r="E20" s="9" t="s">
        <v>327</v>
      </c>
      <c r="F20" s="9" t="s">
        <v>328</v>
      </c>
      <c r="G20" s="9" t="s">
        <v>86</v>
      </c>
      <c r="H20" s="9" t="s">
        <v>26</v>
      </c>
      <c r="I20" s="10" t="s">
        <v>33</v>
      </c>
      <c r="J20" s="10"/>
    </row>
    <row r="21" spans="1:10" x14ac:dyDescent="0.25">
      <c r="A21" s="9" t="s">
        <v>329</v>
      </c>
      <c r="B21" s="9" t="s">
        <v>330</v>
      </c>
      <c r="C21" s="9" t="s">
        <v>20</v>
      </c>
      <c r="D21" s="9" t="s">
        <v>331</v>
      </c>
      <c r="E21" s="9" t="s">
        <v>332</v>
      </c>
      <c r="F21" s="9" t="s">
        <v>262</v>
      </c>
      <c r="G21" s="9" t="s">
        <v>103</v>
      </c>
      <c r="H21" s="9" t="s">
        <v>26</v>
      </c>
      <c r="I21" s="10" t="s">
        <v>33</v>
      </c>
      <c r="J21" s="10"/>
    </row>
    <row r="22" spans="1:10" x14ac:dyDescent="0.25">
      <c r="A22" s="9" t="s">
        <v>333</v>
      </c>
      <c r="B22" s="9" t="s">
        <v>334</v>
      </c>
      <c r="C22" s="9" t="s">
        <v>18</v>
      </c>
      <c r="D22" s="9" t="s">
        <v>335</v>
      </c>
      <c r="E22" s="9" t="s">
        <v>336</v>
      </c>
      <c r="F22" s="9" t="s">
        <v>262</v>
      </c>
      <c r="G22" s="9" t="s">
        <v>103</v>
      </c>
      <c r="H22" s="9" t="s">
        <v>26</v>
      </c>
      <c r="I22" s="10" t="s">
        <v>33</v>
      </c>
      <c r="J22" s="10"/>
    </row>
    <row r="23" spans="1:10" x14ac:dyDescent="0.25">
      <c r="A23" s="9" t="s">
        <v>337</v>
      </c>
      <c r="B23" s="9" t="s">
        <v>338</v>
      </c>
      <c r="C23" s="9" t="s">
        <v>20</v>
      </c>
      <c r="D23" s="9" t="s">
        <v>339</v>
      </c>
      <c r="E23" s="9" t="s">
        <v>340</v>
      </c>
      <c r="F23" s="9" t="s">
        <v>262</v>
      </c>
      <c r="G23" s="9" t="s">
        <v>103</v>
      </c>
      <c r="H23" s="9" t="s">
        <v>26</v>
      </c>
      <c r="I23" s="10" t="s">
        <v>33</v>
      </c>
      <c r="J23" s="10"/>
    </row>
    <row r="24" spans="1:10" x14ac:dyDescent="0.25">
      <c r="A24" s="9" t="s">
        <v>341</v>
      </c>
      <c r="B24" s="9" t="s">
        <v>342</v>
      </c>
      <c r="C24" s="9" t="s">
        <v>18</v>
      </c>
      <c r="D24" s="9" t="s">
        <v>343</v>
      </c>
      <c r="E24" s="9" t="s">
        <v>344</v>
      </c>
      <c r="F24" s="9" t="s">
        <v>262</v>
      </c>
      <c r="G24" s="9" t="s">
        <v>99</v>
      </c>
      <c r="H24" s="9" t="s">
        <v>26</v>
      </c>
      <c r="I24" s="10" t="s">
        <v>33</v>
      </c>
      <c r="J24" s="10"/>
    </row>
    <row r="25" spans="1:10" x14ac:dyDescent="0.25">
      <c r="A25" s="9" t="s">
        <v>345</v>
      </c>
      <c r="B25" s="9" t="s">
        <v>346</v>
      </c>
      <c r="C25" s="9" t="s">
        <v>20</v>
      </c>
      <c r="D25" s="9" t="s">
        <v>347</v>
      </c>
      <c r="E25" s="9" t="s">
        <v>266</v>
      </c>
      <c r="F25" s="9" t="s">
        <v>262</v>
      </c>
      <c r="G25" s="9" t="s">
        <v>103</v>
      </c>
      <c r="H25" s="9" t="s">
        <v>26</v>
      </c>
      <c r="I25" s="10" t="s">
        <v>33</v>
      </c>
      <c r="J25" s="10"/>
    </row>
    <row r="26" spans="1:10" x14ac:dyDescent="0.25">
      <c r="A26" s="9" t="s">
        <v>348</v>
      </c>
      <c r="B26" s="9" t="s">
        <v>349</v>
      </c>
      <c r="C26" s="9" t="s">
        <v>18</v>
      </c>
      <c r="D26" s="9" t="s">
        <v>350</v>
      </c>
      <c r="E26" s="9" t="s">
        <v>336</v>
      </c>
      <c r="F26" s="9" t="s">
        <v>262</v>
      </c>
      <c r="G26" s="9" t="s">
        <v>99</v>
      </c>
      <c r="H26" s="9" t="s">
        <v>26</v>
      </c>
      <c r="I26" s="10" t="s">
        <v>33</v>
      </c>
      <c r="J26" s="10"/>
    </row>
    <row r="27" spans="1:10" x14ac:dyDescent="0.25">
      <c r="A27" s="9" t="s">
        <v>351</v>
      </c>
      <c r="B27" s="9" t="s">
        <v>352</v>
      </c>
      <c r="C27" s="9" t="s">
        <v>19</v>
      </c>
      <c r="D27" s="9" t="s">
        <v>353</v>
      </c>
      <c r="E27" s="9" t="s">
        <v>266</v>
      </c>
      <c r="F27" s="9" t="s">
        <v>354</v>
      </c>
      <c r="G27" s="9" t="s">
        <v>52</v>
      </c>
      <c r="H27" s="9" t="s">
        <v>26</v>
      </c>
      <c r="I27" s="10" t="s">
        <v>33</v>
      </c>
      <c r="J27" s="10"/>
    </row>
    <row r="28" spans="1:10" x14ac:dyDescent="0.25">
      <c r="A28" s="9" t="s">
        <v>355</v>
      </c>
      <c r="B28" s="9" t="s">
        <v>356</v>
      </c>
      <c r="C28" s="9" t="s">
        <v>16</v>
      </c>
      <c r="D28" s="9" t="s">
        <v>357</v>
      </c>
      <c r="E28" s="9" t="s">
        <v>285</v>
      </c>
      <c r="F28" s="9" t="s">
        <v>262</v>
      </c>
      <c r="G28" s="9" t="s">
        <v>99</v>
      </c>
      <c r="H28" s="9" t="s">
        <v>26</v>
      </c>
      <c r="I28" s="10" t="s">
        <v>34</v>
      </c>
      <c r="J28" s="10"/>
    </row>
    <row r="29" spans="1:10" ht="25.5" x14ac:dyDescent="0.25">
      <c r="A29" s="9" t="s">
        <v>358</v>
      </c>
      <c r="B29" s="9" t="s">
        <v>359</v>
      </c>
      <c r="C29" s="9" t="s">
        <v>18</v>
      </c>
      <c r="D29" s="9" t="s">
        <v>360</v>
      </c>
      <c r="E29" s="9" t="s">
        <v>361</v>
      </c>
      <c r="F29" s="9" t="s">
        <v>262</v>
      </c>
      <c r="G29" s="9" t="s">
        <v>103</v>
      </c>
      <c r="H29" s="9" t="s">
        <v>26</v>
      </c>
      <c r="I29" s="10" t="s">
        <v>33</v>
      </c>
      <c r="J29" s="10"/>
    </row>
    <row r="30" spans="1:10" x14ac:dyDescent="0.25">
      <c r="A30" s="19" t="s">
        <v>548</v>
      </c>
      <c r="B30" s="19" t="s">
        <v>549</v>
      </c>
      <c r="C30" s="9" t="s">
        <v>19</v>
      </c>
      <c r="D30" s="13" t="s">
        <v>553</v>
      </c>
      <c r="E30" s="9" t="s">
        <v>266</v>
      </c>
      <c r="F30" s="9" t="s">
        <v>262</v>
      </c>
      <c r="G30" s="9" t="s">
        <v>103</v>
      </c>
      <c r="H30" s="9" t="s">
        <v>26</v>
      </c>
      <c r="I30" s="10" t="s">
        <v>33</v>
      </c>
      <c r="J30" s="10"/>
    </row>
    <row r="31" spans="1:10" x14ac:dyDescent="0.25">
      <c r="A31" s="19" t="s">
        <v>559</v>
      </c>
      <c r="B31" s="19" t="s">
        <v>558</v>
      </c>
      <c r="C31" s="9" t="s">
        <v>16</v>
      </c>
      <c r="D31" s="13" t="s">
        <v>557</v>
      </c>
      <c r="E31" s="9" t="s">
        <v>274</v>
      </c>
      <c r="F31" s="9" t="s">
        <v>262</v>
      </c>
      <c r="G31" s="9" t="s">
        <v>103</v>
      </c>
      <c r="H31" s="9" t="s">
        <v>26</v>
      </c>
      <c r="I31" s="10" t="s">
        <v>33</v>
      </c>
      <c r="J31" s="10"/>
    </row>
  </sheetData>
  <autoFilter ref="A1:J29" xr:uid="{00000000-0009-0000-0000-000003000000}"/>
  <conditionalFormatting sqref="A2:H29 F30 G31:H31">
    <cfRule type="expression" dxfId="9" priority="12">
      <formula>$H2="Există"</formula>
    </cfRule>
  </conditionalFormatting>
  <conditionalFormatting sqref="A30:B30 D30">
    <cfRule type="expression" dxfId="8" priority="10">
      <formula>$G30="Există"</formula>
    </cfRule>
  </conditionalFormatting>
  <conditionalFormatting sqref="A30:B30">
    <cfRule type="expression" dxfId="7" priority="11">
      <formula>$G51="Există"</formula>
    </cfRule>
  </conditionalFormatting>
  <conditionalFormatting sqref="C30">
    <cfRule type="expression" dxfId="6" priority="9">
      <formula>$H30="Există"</formula>
    </cfRule>
  </conditionalFormatting>
  <conditionalFormatting sqref="E30">
    <cfRule type="expression" dxfId="5" priority="8">
      <formula>$H30="Există"</formula>
    </cfRule>
  </conditionalFormatting>
  <conditionalFormatting sqref="G30">
    <cfRule type="expression" dxfId="4" priority="6">
      <formula>$H30="Există"</formula>
    </cfRule>
  </conditionalFormatting>
  <conditionalFormatting sqref="H30">
    <cfRule type="expression" dxfId="3" priority="5">
      <formula>$H30="Există"</formula>
    </cfRule>
  </conditionalFormatting>
  <conditionalFormatting sqref="A31:F31">
    <cfRule type="expression" dxfId="2" priority="13">
      <formula>#REF!="Există"</formula>
    </cfRule>
  </conditionalFormatting>
  <dataValidations count="1">
    <dataValidation type="list" allowBlank="1" sqref="I2:I31" xr:uid="{00000000-0002-0000-0300-000000000000}">
      <formula1>"DA,NU,MODIFIC,DE DISCUTAT"</formula1>
    </dataValidation>
  </dataValidation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42"/>
  <sheetViews>
    <sheetView workbookViewId="0">
      <pane xSplit="2" ySplit="1" topLeftCell="C2" activePane="bottomRight" state="frozen"/>
      <selection pane="topRight"/>
      <selection pane="bottomLeft"/>
      <selection pane="bottomRight" activeCell="I32" sqref="I32"/>
    </sheetView>
  </sheetViews>
  <sheetFormatPr defaultRowHeight="15" x14ac:dyDescent="0.25"/>
  <cols>
    <col min="1" max="1" width="22" customWidth="1"/>
    <col min="2" max="2" width="24" customWidth="1"/>
    <col min="3" max="3" width="11" customWidth="1"/>
    <col min="4" max="4" width="20" customWidth="1"/>
    <col min="5" max="5" width="62" customWidth="1"/>
    <col min="6" max="6" width="24" customWidth="1"/>
    <col min="7" max="7" width="10" customWidth="1"/>
    <col min="8" max="8" width="14" customWidth="1"/>
    <col min="9" max="9" width="40" customWidth="1"/>
  </cols>
  <sheetData>
    <row r="1" spans="1:9" ht="30" customHeight="1" x14ac:dyDescent="0.25">
      <c r="A1" s="8" t="s">
        <v>40</v>
      </c>
      <c r="B1" s="8" t="s">
        <v>41</v>
      </c>
      <c r="C1" s="8" t="s">
        <v>24</v>
      </c>
      <c r="D1" s="8" t="s">
        <v>11</v>
      </c>
      <c r="E1" s="8" t="s">
        <v>43</v>
      </c>
      <c r="F1" s="8" t="s">
        <v>44</v>
      </c>
      <c r="G1" s="8" t="s">
        <v>45</v>
      </c>
      <c r="H1" s="8" t="s">
        <v>46</v>
      </c>
      <c r="I1" s="8" t="s">
        <v>47</v>
      </c>
    </row>
    <row r="2" spans="1:9" x14ac:dyDescent="0.25">
      <c r="A2" s="9" t="s">
        <v>362</v>
      </c>
      <c r="B2" s="9" t="s">
        <v>363</v>
      </c>
      <c r="C2" s="9" t="s">
        <v>27</v>
      </c>
      <c r="D2" s="9" t="s">
        <v>16</v>
      </c>
      <c r="E2" s="9" t="s">
        <v>364</v>
      </c>
      <c r="F2" s="9" t="s">
        <v>99</v>
      </c>
      <c r="G2" s="9" t="s">
        <v>25</v>
      </c>
      <c r="H2" s="10" t="s">
        <v>33</v>
      </c>
      <c r="I2" s="10"/>
    </row>
    <row r="3" spans="1:9" x14ac:dyDescent="0.25">
      <c r="A3" s="9" t="s">
        <v>365</v>
      </c>
      <c r="B3" s="9" t="s">
        <v>366</v>
      </c>
      <c r="C3" s="9" t="s">
        <v>27</v>
      </c>
      <c r="D3" s="9" t="s">
        <v>16</v>
      </c>
      <c r="E3" s="9" t="s">
        <v>367</v>
      </c>
      <c r="F3" s="9" t="s">
        <v>99</v>
      </c>
      <c r="G3" s="9" t="s">
        <v>25</v>
      </c>
      <c r="H3" s="10" t="s">
        <v>33</v>
      </c>
      <c r="I3" s="10"/>
    </row>
    <row r="4" spans="1:9" x14ac:dyDescent="0.25">
      <c r="A4" s="9" t="s">
        <v>368</v>
      </c>
      <c r="B4" s="9" t="s">
        <v>369</v>
      </c>
      <c r="C4" s="9" t="s">
        <v>27</v>
      </c>
      <c r="D4" s="9" t="s">
        <v>17</v>
      </c>
      <c r="E4" s="9" t="s">
        <v>370</v>
      </c>
      <c r="F4" s="9" t="s">
        <v>99</v>
      </c>
      <c r="G4" s="9" t="s">
        <v>25</v>
      </c>
      <c r="H4" s="10" t="s">
        <v>33</v>
      </c>
      <c r="I4" s="10"/>
    </row>
    <row r="5" spans="1:9" x14ac:dyDescent="0.25">
      <c r="A5" s="9" t="s">
        <v>371</v>
      </c>
      <c r="B5" s="9" t="s">
        <v>372</v>
      </c>
      <c r="C5" s="9" t="s">
        <v>27</v>
      </c>
      <c r="D5" s="9" t="s">
        <v>19</v>
      </c>
      <c r="E5" s="9" t="s">
        <v>373</v>
      </c>
      <c r="F5" s="9" t="s">
        <v>99</v>
      </c>
      <c r="G5" s="9" t="s">
        <v>26</v>
      </c>
      <c r="H5" s="10" t="s">
        <v>33</v>
      </c>
      <c r="I5" s="10"/>
    </row>
    <row r="6" spans="1:9" x14ac:dyDescent="0.25">
      <c r="A6" s="9" t="s">
        <v>374</v>
      </c>
      <c r="B6" s="9" t="s">
        <v>375</v>
      </c>
      <c r="C6" s="9" t="s">
        <v>27</v>
      </c>
      <c r="D6" s="9" t="s">
        <v>18</v>
      </c>
      <c r="E6" s="9" t="s">
        <v>376</v>
      </c>
      <c r="F6" s="9" t="s">
        <v>99</v>
      </c>
      <c r="G6" s="9" t="s">
        <v>26</v>
      </c>
      <c r="H6" s="10" t="s">
        <v>33</v>
      </c>
      <c r="I6" s="10"/>
    </row>
    <row r="7" spans="1:9" x14ac:dyDescent="0.25">
      <c r="A7" s="9" t="s">
        <v>377</v>
      </c>
      <c r="B7" s="9" t="s">
        <v>378</v>
      </c>
      <c r="C7" s="9" t="s">
        <v>27</v>
      </c>
      <c r="D7" s="9" t="s">
        <v>16</v>
      </c>
      <c r="E7" s="9" t="s">
        <v>379</v>
      </c>
      <c r="F7" s="9" t="s">
        <v>99</v>
      </c>
      <c r="G7" s="9" t="s">
        <v>26</v>
      </c>
      <c r="H7" s="10" t="s">
        <v>33</v>
      </c>
      <c r="I7" s="10"/>
    </row>
    <row r="8" spans="1:9" x14ac:dyDescent="0.25">
      <c r="A8" s="9" t="s">
        <v>380</v>
      </c>
      <c r="B8" s="9" t="s">
        <v>381</v>
      </c>
      <c r="C8" s="9" t="s">
        <v>27</v>
      </c>
      <c r="D8" s="9" t="s">
        <v>18</v>
      </c>
      <c r="E8" s="9" t="s">
        <v>382</v>
      </c>
      <c r="F8" s="9" t="s">
        <v>99</v>
      </c>
      <c r="G8" s="9" t="s">
        <v>26</v>
      </c>
      <c r="H8" s="10" t="s">
        <v>34</v>
      </c>
      <c r="I8" s="10"/>
    </row>
    <row r="9" spans="1:9" x14ac:dyDescent="0.25">
      <c r="A9" s="9" t="s">
        <v>383</v>
      </c>
      <c r="B9" s="9" t="s">
        <v>384</v>
      </c>
      <c r="C9" s="9" t="s">
        <v>27</v>
      </c>
      <c r="D9" s="9" t="s">
        <v>17</v>
      </c>
      <c r="E9" s="9" t="s">
        <v>385</v>
      </c>
      <c r="F9" s="9" t="s">
        <v>99</v>
      </c>
      <c r="G9" s="9" t="s">
        <v>26</v>
      </c>
      <c r="H9" s="10" t="s">
        <v>33</v>
      </c>
      <c r="I9" s="10"/>
    </row>
    <row r="10" spans="1:9" x14ac:dyDescent="0.25">
      <c r="A10" s="9" t="s">
        <v>386</v>
      </c>
      <c r="B10" s="9" t="s">
        <v>387</v>
      </c>
      <c r="C10" s="9" t="s">
        <v>27</v>
      </c>
      <c r="D10" s="9" t="s">
        <v>17</v>
      </c>
      <c r="E10" s="9" t="s">
        <v>388</v>
      </c>
      <c r="F10" s="9" t="s">
        <v>99</v>
      </c>
      <c r="G10" s="9" t="s">
        <v>26</v>
      </c>
      <c r="H10" s="10" t="s">
        <v>33</v>
      </c>
      <c r="I10" s="10"/>
    </row>
    <row r="11" spans="1:9" x14ac:dyDescent="0.25">
      <c r="A11" s="9" t="s">
        <v>389</v>
      </c>
      <c r="B11" s="9" t="s">
        <v>390</v>
      </c>
      <c r="C11" s="9" t="s">
        <v>27</v>
      </c>
      <c r="D11" s="9" t="s">
        <v>18</v>
      </c>
      <c r="E11" s="9" t="s">
        <v>391</v>
      </c>
      <c r="F11" s="9" t="s">
        <v>99</v>
      </c>
      <c r="G11" s="9" t="s">
        <v>26</v>
      </c>
      <c r="H11" s="10" t="s">
        <v>33</v>
      </c>
      <c r="I11" s="10"/>
    </row>
    <row r="12" spans="1:9" ht="25.5" x14ac:dyDescent="0.25">
      <c r="A12" s="9" t="s">
        <v>392</v>
      </c>
      <c r="B12" s="9" t="s">
        <v>393</v>
      </c>
      <c r="C12" s="9" t="s">
        <v>28</v>
      </c>
      <c r="D12" s="9" t="s">
        <v>18</v>
      </c>
      <c r="E12" s="9" t="s">
        <v>394</v>
      </c>
      <c r="F12" s="9" t="s">
        <v>99</v>
      </c>
      <c r="G12" s="9" t="s">
        <v>25</v>
      </c>
      <c r="H12" s="10" t="s">
        <v>33</v>
      </c>
      <c r="I12" s="10"/>
    </row>
    <row r="13" spans="1:9" x14ac:dyDescent="0.25">
      <c r="A13" s="9" t="s">
        <v>395</v>
      </c>
      <c r="B13" s="9" t="s">
        <v>396</v>
      </c>
      <c r="C13" s="9" t="s">
        <v>28</v>
      </c>
      <c r="D13" s="9" t="s">
        <v>16</v>
      </c>
      <c r="E13" s="9" t="s">
        <v>397</v>
      </c>
      <c r="F13" s="9" t="s">
        <v>99</v>
      </c>
      <c r="G13" s="9" t="s">
        <v>25</v>
      </c>
      <c r="H13" s="10" t="s">
        <v>36</v>
      </c>
      <c r="I13" s="12" t="s">
        <v>563</v>
      </c>
    </row>
    <row r="14" spans="1:9" x14ac:dyDescent="0.25">
      <c r="A14" s="9" t="s">
        <v>398</v>
      </c>
      <c r="B14" s="9" t="s">
        <v>399</v>
      </c>
      <c r="C14" s="9" t="s">
        <v>28</v>
      </c>
      <c r="D14" s="9" t="s">
        <v>18</v>
      </c>
      <c r="E14" s="9" t="s">
        <v>400</v>
      </c>
      <c r="F14" s="9" t="s">
        <v>99</v>
      </c>
      <c r="G14" s="9" t="s">
        <v>25</v>
      </c>
      <c r="H14" s="10" t="s">
        <v>34</v>
      </c>
      <c r="I14" s="10"/>
    </row>
    <row r="15" spans="1:9" x14ac:dyDescent="0.25">
      <c r="A15" s="9" t="s">
        <v>401</v>
      </c>
      <c r="B15" s="9" t="s">
        <v>402</v>
      </c>
      <c r="C15" s="9" t="s">
        <v>28</v>
      </c>
      <c r="D15" s="9" t="s">
        <v>17</v>
      </c>
      <c r="E15" s="9" t="s">
        <v>403</v>
      </c>
      <c r="F15" s="9" t="s">
        <v>99</v>
      </c>
      <c r="G15" s="9" t="s">
        <v>26</v>
      </c>
      <c r="H15" s="10" t="s">
        <v>34</v>
      </c>
      <c r="I15" s="10"/>
    </row>
    <row r="16" spans="1:9" x14ac:dyDescent="0.25">
      <c r="A16" s="9" t="s">
        <v>404</v>
      </c>
      <c r="B16" s="9" t="s">
        <v>405</v>
      </c>
      <c r="C16" s="9" t="s">
        <v>28</v>
      </c>
      <c r="D16" s="9" t="s">
        <v>17</v>
      </c>
      <c r="E16" s="9" t="s">
        <v>406</v>
      </c>
      <c r="F16" s="9" t="s">
        <v>99</v>
      </c>
      <c r="G16" s="9" t="s">
        <v>26</v>
      </c>
      <c r="H16" s="10" t="s">
        <v>33</v>
      </c>
      <c r="I16" s="10"/>
    </row>
    <row r="17" spans="1:9" x14ac:dyDescent="0.25">
      <c r="A17" s="9" t="s">
        <v>407</v>
      </c>
      <c r="B17" s="9" t="s">
        <v>408</v>
      </c>
      <c r="C17" s="9" t="s">
        <v>28</v>
      </c>
      <c r="D17" s="9" t="s">
        <v>16</v>
      </c>
      <c r="E17" s="9" t="s">
        <v>409</v>
      </c>
      <c r="F17" s="9" t="s">
        <v>99</v>
      </c>
      <c r="G17" s="9" t="s">
        <v>26</v>
      </c>
      <c r="H17" s="10" t="s">
        <v>33</v>
      </c>
      <c r="I17" s="10"/>
    </row>
    <row r="18" spans="1:9" ht="25.5" x14ac:dyDescent="0.25">
      <c r="A18" s="9" t="s">
        <v>410</v>
      </c>
      <c r="B18" s="9" t="s">
        <v>411</v>
      </c>
      <c r="C18" s="9" t="s">
        <v>28</v>
      </c>
      <c r="D18" s="9" t="s">
        <v>19</v>
      </c>
      <c r="E18" s="9" t="s">
        <v>412</v>
      </c>
      <c r="F18" s="9" t="s">
        <v>99</v>
      </c>
      <c r="G18" s="9" t="s">
        <v>26</v>
      </c>
      <c r="H18" s="10" t="s">
        <v>33</v>
      </c>
      <c r="I18" s="10"/>
    </row>
    <row r="19" spans="1:9" x14ac:dyDescent="0.25">
      <c r="A19" s="9" t="s">
        <v>413</v>
      </c>
      <c r="B19" s="9" t="s">
        <v>414</v>
      </c>
      <c r="C19" s="9" t="s">
        <v>28</v>
      </c>
      <c r="D19" s="9" t="s">
        <v>16</v>
      </c>
      <c r="E19" s="9" t="s">
        <v>415</v>
      </c>
      <c r="F19" s="9" t="s">
        <v>99</v>
      </c>
      <c r="G19" s="9" t="s">
        <v>26</v>
      </c>
      <c r="H19" s="10" t="s">
        <v>33</v>
      </c>
      <c r="I19" s="10"/>
    </row>
    <row r="20" spans="1:9" x14ac:dyDescent="0.25">
      <c r="A20" s="9" t="s">
        <v>416</v>
      </c>
      <c r="B20" s="9" t="s">
        <v>417</v>
      </c>
      <c r="C20" s="9" t="s">
        <v>28</v>
      </c>
      <c r="D20" s="9" t="s">
        <v>18</v>
      </c>
      <c r="E20" s="9" t="s">
        <v>418</v>
      </c>
      <c r="F20" s="9" t="s">
        <v>99</v>
      </c>
      <c r="G20" s="9" t="s">
        <v>26</v>
      </c>
      <c r="H20" s="10" t="s">
        <v>33</v>
      </c>
      <c r="I20" s="10"/>
    </row>
    <row r="21" spans="1:9" x14ac:dyDescent="0.25">
      <c r="A21" s="9" t="s">
        <v>419</v>
      </c>
      <c r="B21" s="9" t="s">
        <v>420</v>
      </c>
      <c r="C21" s="9" t="s">
        <v>28</v>
      </c>
      <c r="D21" s="9" t="s">
        <v>17</v>
      </c>
      <c r="E21" s="9" t="s">
        <v>421</v>
      </c>
      <c r="F21" s="9" t="s">
        <v>99</v>
      </c>
      <c r="G21" s="9" t="s">
        <v>26</v>
      </c>
      <c r="H21" s="10" t="s">
        <v>33</v>
      </c>
      <c r="I21" s="10"/>
    </row>
    <row r="22" spans="1:9" x14ac:dyDescent="0.25">
      <c r="A22" s="9" t="s">
        <v>422</v>
      </c>
      <c r="B22" s="9" t="s">
        <v>423</v>
      </c>
      <c r="C22" s="9" t="s">
        <v>29</v>
      </c>
      <c r="D22" s="9" t="s">
        <v>17</v>
      </c>
      <c r="E22" s="9" t="s">
        <v>424</v>
      </c>
      <c r="F22" s="9" t="s">
        <v>99</v>
      </c>
      <c r="G22" s="9" t="s">
        <v>25</v>
      </c>
      <c r="H22" s="10" t="s">
        <v>33</v>
      </c>
      <c r="I22" s="10"/>
    </row>
    <row r="23" spans="1:9" x14ac:dyDescent="0.25">
      <c r="A23" s="9" t="s">
        <v>425</v>
      </c>
      <c r="B23" s="9" t="s">
        <v>426</v>
      </c>
      <c r="C23" s="9" t="s">
        <v>29</v>
      </c>
      <c r="D23" s="9" t="s">
        <v>17</v>
      </c>
      <c r="E23" s="9" t="s">
        <v>427</v>
      </c>
      <c r="F23" s="9" t="s">
        <v>99</v>
      </c>
      <c r="G23" s="9" t="s">
        <v>25</v>
      </c>
      <c r="H23" s="10" t="s">
        <v>33</v>
      </c>
      <c r="I23" s="10"/>
    </row>
    <row r="24" spans="1:9" x14ac:dyDescent="0.25">
      <c r="A24" s="9" t="s">
        <v>428</v>
      </c>
      <c r="B24" s="9" t="s">
        <v>429</v>
      </c>
      <c r="C24" s="9" t="s">
        <v>29</v>
      </c>
      <c r="D24" s="9" t="s">
        <v>18</v>
      </c>
      <c r="E24" s="9" t="s">
        <v>430</v>
      </c>
      <c r="F24" s="9" t="s">
        <v>99</v>
      </c>
      <c r="G24" s="9" t="s">
        <v>25</v>
      </c>
      <c r="H24" s="10" t="s">
        <v>33</v>
      </c>
      <c r="I24" s="10"/>
    </row>
    <row r="25" spans="1:9" x14ac:dyDescent="0.25">
      <c r="A25" s="9" t="s">
        <v>431</v>
      </c>
      <c r="B25" s="9" t="s">
        <v>432</v>
      </c>
      <c r="C25" s="9" t="s">
        <v>29</v>
      </c>
      <c r="D25" s="9" t="s">
        <v>17</v>
      </c>
      <c r="E25" s="9" t="s">
        <v>433</v>
      </c>
      <c r="F25" s="9" t="s">
        <v>99</v>
      </c>
      <c r="G25" s="9" t="s">
        <v>26</v>
      </c>
      <c r="H25" s="10" t="s">
        <v>33</v>
      </c>
      <c r="I25" s="10"/>
    </row>
    <row r="26" spans="1:9" x14ac:dyDescent="0.25">
      <c r="A26" s="9" t="s">
        <v>434</v>
      </c>
      <c r="B26" s="9" t="s">
        <v>435</v>
      </c>
      <c r="C26" s="9" t="s">
        <v>29</v>
      </c>
      <c r="D26" s="9" t="s">
        <v>18</v>
      </c>
      <c r="E26" s="9" t="s">
        <v>436</v>
      </c>
      <c r="F26" s="9" t="s">
        <v>99</v>
      </c>
      <c r="G26" s="9" t="s">
        <v>26</v>
      </c>
      <c r="H26" s="10" t="s">
        <v>33</v>
      </c>
      <c r="I26" s="12" t="s">
        <v>565</v>
      </c>
    </row>
    <row r="27" spans="1:9" x14ac:dyDescent="0.25">
      <c r="A27" s="9" t="s">
        <v>437</v>
      </c>
      <c r="B27" s="9" t="s">
        <v>438</v>
      </c>
      <c r="C27" s="9" t="s">
        <v>29</v>
      </c>
      <c r="D27" s="9" t="s">
        <v>19</v>
      </c>
      <c r="E27" s="9" t="s">
        <v>439</v>
      </c>
      <c r="F27" s="9" t="s">
        <v>99</v>
      </c>
      <c r="G27" s="9" t="s">
        <v>26</v>
      </c>
      <c r="H27" s="10" t="s">
        <v>33</v>
      </c>
      <c r="I27" s="10"/>
    </row>
    <row r="28" spans="1:9" x14ac:dyDescent="0.25">
      <c r="A28" s="9" t="s">
        <v>440</v>
      </c>
      <c r="B28" s="9" t="s">
        <v>441</v>
      </c>
      <c r="C28" s="9" t="s">
        <v>29</v>
      </c>
      <c r="D28" s="9" t="s">
        <v>17</v>
      </c>
      <c r="E28" s="9" t="s">
        <v>442</v>
      </c>
      <c r="F28" s="9" t="s">
        <v>99</v>
      </c>
      <c r="G28" s="9" t="s">
        <v>26</v>
      </c>
      <c r="H28" s="10" t="s">
        <v>33</v>
      </c>
      <c r="I28" s="10"/>
    </row>
    <row r="29" spans="1:9" x14ac:dyDescent="0.25">
      <c r="A29" s="9" t="s">
        <v>443</v>
      </c>
      <c r="B29" s="9" t="s">
        <v>444</v>
      </c>
      <c r="C29" s="9" t="s">
        <v>29</v>
      </c>
      <c r="D29" s="9" t="s">
        <v>17</v>
      </c>
      <c r="E29" s="9" t="s">
        <v>445</v>
      </c>
      <c r="F29" s="9" t="s">
        <v>99</v>
      </c>
      <c r="G29" s="9" t="s">
        <v>26</v>
      </c>
      <c r="H29" s="10" t="s">
        <v>33</v>
      </c>
      <c r="I29" s="10"/>
    </row>
    <row r="30" spans="1:9" x14ac:dyDescent="0.25">
      <c r="A30" s="9" t="s">
        <v>446</v>
      </c>
      <c r="B30" s="9" t="s">
        <v>447</v>
      </c>
      <c r="C30" s="9" t="s">
        <v>29</v>
      </c>
      <c r="D30" s="13" t="s">
        <v>561</v>
      </c>
      <c r="E30" s="13" t="s">
        <v>566</v>
      </c>
      <c r="F30" s="9" t="s">
        <v>99</v>
      </c>
      <c r="G30" s="9" t="s">
        <v>26</v>
      </c>
      <c r="H30" s="10" t="s">
        <v>33</v>
      </c>
      <c r="I30" s="10"/>
    </row>
    <row r="31" spans="1:9" x14ac:dyDescent="0.25">
      <c r="A31" s="13" t="s">
        <v>567</v>
      </c>
      <c r="B31" s="13" t="s">
        <v>568</v>
      </c>
      <c r="C31" s="9" t="s">
        <v>29</v>
      </c>
      <c r="D31" s="9" t="s">
        <v>17</v>
      </c>
      <c r="E31" s="13" t="s">
        <v>569</v>
      </c>
      <c r="F31" s="9" t="s">
        <v>99</v>
      </c>
      <c r="G31" s="9" t="s">
        <v>26</v>
      </c>
      <c r="H31" s="10" t="s">
        <v>33</v>
      </c>
      <c r="I31" s="10"/>
    </row>
    <row r="32" spans="1:9" x14ac:dyDescent="0.25">
      <c r="A32" s="9" t="s">
        <v>448</v>
      </c>
      <c r="B32" s="9" t="s">
        <v>449</v>
      </c>
      <c r="C32" s="9" t="s">
        <v>29</v>
      </c>
      <c r="D32" s="9" t="s">
        <v>16</v>
      </c>
      <c r="E32" s="13" t="s">
        <v>570</v>
      </c>
      <c r="F32" s="9" t="s">
        <v>99</v>
      </c>
      <c r="G32" s="9" t="s">
        <v>26</v>
      </c>
      <c r="H32" s="10" t="s">
        <v>33</v>
      </c>
      <c r="I32" s="10"/>
    </row>
    <row r="33" spans="1:9" x14ac:dyDescent="0.25">
      <c r="A33" s="9" t="s">
        <v>450</v>
      </c>
      <c r="B33" s="9" t="s">
        <v>451</v>
      </c>
      <c r="C33" s="9" t="s">
        <v>30</v>
      </c>
      <c r="D33" s="9" t="s">
        <v>16</v>
      </c>
      <c r="E33" s="9" t="s">
        <v>452</v>
      </c>
      <c r="F33" s="9" t="s">
        <v>99</v>
      </c>
      <c r="G33" s="9" t="s">
        <v>25</v>
      </c>
      <c r="H33" s="10" t="s">
        <v>33</v>
      </c>
      <c r="I33" s="10"/>
    </row>
    <row r="34" spans="1:9" x14ac:dyDescent="0.25">
      <c r="A34" s="9" t="s">
        <v>453</v>
      </c>
      <c r="B34" s="9" t="s">
        <v>454</v>
      </c>
      <c r="C34" s="9" t="s">
        <v>30</v>
      </c>
      <c r="D34" s="9" t="s">
        <v>18</v>
      </c>
      <c r="E34" s="9" t="s">
        <v>455</v>
      </c>
      <c r="F34" s="9" t="s">
        <v>99</v>
      </c>
      <c r="G34" s="9" t="s">
        <v>25</v>
      </c>
      <c r="H34" s="10" t="s">
        <v>33</v>
      </c>
      <c r="I34" s="10"/>
    </row>
    <row r="35" spans="1:9" x14ac:dyDescent="0.25">
      <c r="A35" s="9" t="s">
        <v>456</v>
      </c>
      <c r="B35" s="9" t="s">
        <v>457</v>
      </c>
      <c r="C35" s="9" t="s">
        <v>30</v>
      </c>
      <c r="D35" s="9" t="s">
        <v>18</v>
      </c>
      <c r="E35" s="9" t="s">
        <v>458</v>
      </c>
      <c r="F35" s="9" t="s">
        <v>99</v>
      </c>
      <c r="G35" s="9" t="s">
        <v>26</v>
      </c>
      <c r="H35" s="10" t="s">
        <v>33</v>
      </c>
      <c r="I35" s="10"/>
    </row>
    <row r="36" spans="1:9" x14ac:dyDescent="0.25">
      <c r="A36" s="9" t="s">
        <v>459</v>
      </c>
      <c r="B36" s="9" t="s">
        <v>460</v>
      </c>
      <c r="C36" s="9" t="s">
        <v>30</v>
      </c>
      <c r="D36" s="9" t="s">
        <v>18</v>
      </c>
      <c r="E36" s="9" t="s">
        <v>461</v>
      </c>
      <c r="F36" s="9" t="s">
        <v>99</v>
      </c>
      <c r="G36" s="9" t="s">
        <v>26</v>
      </c>
      <c r="H36" s="10" t="s">
        <v>33</v>
      </c>
      <c r="I36" s="10"/>
    </row>
    <row r="37" spans="1:9" x14ac:dyDescent="0.25">
      <c r="A37" s="9" t="s">
        <v>462</v>
      </c>
      <c r="B37" s="9" t="s">
        <v>463</v>
      </c>
      <c r="C37" s="9" t="s">
        <v>30</v>
      </c>
      <c r="D37" s="9" t="s">
        <v>16</v>
      </c>
      <c r="E37" s="9" t="s">
        <v>464</v>
      </c>
      <c r="F37" s="9" t="s">
        <v>99</v>
      </c>
      <c r="G37" s="9" t="s">
        <v>26</v>
      </c>
      <c r="H37" s="10" t="s">
        <v>33</v>
      </c>
      <c r="I37" s="10"/>
    </row>
    <row r="38" spans="1:9" ht="25.5" x14ac:dyDescent="0.25">
      <c r="A38" s="9" t="s">
        <v>465</v>
      </c>
      <c r="B38" s="9" t="s">
        <v>466</v>
      </c>
      <c r="C38" s="9" t="s">
        <v>30</v>
      </c>
      <c r="D38" s="9" t="s">
        <v>17</v>
      </c>
      <c r="E38" s="9" t="s">
        <v>467</v>
      </c>
      <c r="F38" s="9" t="s">
        <v>99</v>
      </c>
      <c r="G38" s="9" t="s">
        <v>26</v>
      </c>
      <c r="H38" s="10" t="s">
        <v>33</v>
      </c>
      <c r="I38" s="10"/>
    </row>
    <row r="39" spans="1:9" x14ac:dyDescent="0.25">
      <c r="A39" s="9" t="s">
        <v>468</v>
      </c>
      <c r="B39" s="9" t="s">
        <v>469</v>
      </c>
      <c r="C39" s="9" t="s">
        <v>30</v>
      </c>
      <c r="D39" s="9" t="s">
        <v>17</v>
      </c>
      <c r="E39" s="9" t="s">
        <v>470</v>
      </c>
      <c r="F39" s="9" t="s">
        <v>99</v>
      </c>
      <c r="G39" s="9" t="s">
        <v>26</v>
      </c>
      <c r="H39" s="10" t="s">
        <v>33</v>
      </c>
      <c r="I39" s="10"/>
    </row>
    <row r="40" spans="1:9" x14ac:dyDescent="0.25">
      <c r="A40" s="9" t="s">
        <v>471</v>
      </c>
      <c r="B40" s="9" t="s">
        <v>472</v>
      </c>
      <c r="C40" s="9" t="s">
        <v>30</v>
      </c>
      <c r="D40" s="9" t="s">
        <v>18</v>
      </c>
      <c r="E40" s="9" t="s">
        <v>473</v>
      </c>
      <c r="F40" s="9" t="s">
        <v>99</v>
      </c>
      <c r="G40" s="9" t="s">
        <v>26</v>
      </c>
      <c r="H40" s="10" t="s">
        <v>33</v>
      </c>
      <c r="I40" s="10"/>
    </row>
    <row r="41" spans="1:9" x14ac:dyDescent="0.25">
      <c r="A41" s="9" t="s">
        <v>474</v>
      </c>
      <c r="B41" s="9" t="s">
        <v>475</v>
      </c>
      <c r="C41" s="9" t="s">
        <v>30</v>
      </c>
      <c r="D41" s="9" t="s">
        <v>18</v>
      </c>
      <c r="E41" s="9" t="s">
        <v>476</v>
      </c>
      <c r="F41" s="9" t="s">
        <v>99</v>
      </c>
      <c r="G41" s="9" t="s">
        <v>26</v>
      </c>
      <c r="H41" s="10" t="s">
        <v>33</v>
      </c>
      <c r="I41" s="10"/>
    </row>
    <row r="42" spans="1:9" x14ac:dyDescent="0.25">
      <c r="A42" s="9" t="s">
        <v>477</v>
      </c>
      <c r="B42" s="9" t="s">
        <v>478</v>
      </c>
      <c r="C42" s="9" t="s">
        <v>30</v>
      </c>
      <c r="D42" s="9" t="s">
        <v>17</v>
      </c>
      <c r="E42" s="9" t="s">
        <v>479</v>
      </c>
      <c r="F42" s="9" t="s">
        <v>99</v>
      </c>
      <c r="G42" s="9" t="s">
        <v>26</v>
      </c>
      <c r="H42" s="10" t="s">
        <v>33</v>
      </c>
      <c r="I42" s="10"/>
    </row>
  </sheetData>
  <autoFilter ref="A1:I42" xr:uid="{00000000-0009-0000-0000-000004000000}"/>
  <conditionalFormatting sqref="A2:G42">
    <cfRule type="expression" dxfId="1" priority="1">
      <formula>$G2="Există"</formula>
    </cfRule>
  </conditionalFormatting>
  <dataValidations count="1">
    <dataValidation type="list" allowBlank="1" sqref="H2:H42" xr:uid="{00000000-0002-0000-0400-000000000000}">
      <formula1>"DA,NU,MODIFIC,DE DISCUTAT"</formula1>
    </dataValidation>
  </dataValidation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11"/>
  <sheetViews>
    <sheetView workbookViewId="0">
      <pane xSplit="2" ySplit="1" topLeftCell="C2" activePane="bottomRight" state="frozen"/>
      <selection pane="topRight"/>
      <selection pane="bottomLeft"/>
      <selection pane="bottomRight" activeCell="G14" sqref="G14"/>
    </sheetView>
  </sheetViews>
  <sheetFormatPr defaultRowHeight="15" x14ac:dyDescent="0.25"/>
  <cols>
    <col min="1" max="1" width="20" customWidth="1"/>
    <col min="2" max="2" width="14" customWidth="1"/>
    <col min="3" max="3" width="60" customWidth="1"/>
    <col min="4" max="4" width="42" customWidth="1"/>
    <col min="5" max="5" width="10" customWidth="1"/>
    <col min="6" max="6" width="14" customWidth="1"/>
    <col min="7" max="7" width="40" customWidth="1"/>
  </cols>
  <sheetData>
    <row r="1" spans="1:7" ht="30" customHeight="1" x14ac:dyDescent="0.25">
      <c r="A1" s="8" t="s">
        <v>41</v>
      </c>
      <c r="B1" s="8" t="s">
        <v>480</v>
      </c>
      <c r="C1" s="8" t="s">
        <v>481</v>
      </c>
      <c r="D1" s="8" t="s">
        <v>482</v>
      </c>
      <c r="E1" s="8" t="s">
        <v>45</v>
      </c>
      <c r="F1" s="8" t="s">
        <v>46</v>
      </c>
      <c r="G1" s="8" t="s">
        <v>47</v>
      </c>
    </row>
    <row r="2" spans="1:7" x14ac:dyDescent="0.25">
      <c r="A2" s="9" t="s">
        <v>483</v>
      </c>
      <c r="B2" s="9" t="s">
        <v>484</v>
      </c>
      <c r="C2" s="9" t="s">
        <v>485</v>
      </c>
      <c r="D2" s="9" t="s">
        <v>486</v>
      </c>
      <c r="E2" s="9" t="s">
        <v>25</v>
      </c>
      <c r="F2" s="10" t="s">
        <v>33</v>
      </c>
      <c r="G2" s="10"/>
    </row>
    <row r="3" spans="1:7" x14ac:dyDescent="0.25">
      <c r="A3" s="9" t="s">
        <v>487</v>
      </c>
      <c r="B3" s="9" t="s">
        <v>488</v>
      </c>
      <c r="C3" s="9" t="s">
        <v>489</v>
      </c>
      <c r="D3" s="9" t="s">
        <v>490</v>
      </c>
      <c r="E3" s="9" t="s">
        <v>25</v>
      </c>
      <c r="F3" s="10" t="s">
        <v>33</v>
      </c>
      <c r="G3" s="10"/>
    </row>
    <row r="4" spans="1:7" ht="25.5" x14ac:dyDescent="0.25">
      <c r="A4" s="9" t="s">
        <v>491</v>
      </c>
      <c r="B4" s="9" t="s">
        <v>492</v>
      </c>
      <c r="C4" s="9" t="s">
        <v>493</v>
      </c>
      <c r="D4" s="9" t="s">
        <v>494</v>
      </c>
      <c r="E4" s="9" t="s">
        <v>25</v>
      </c>
      <c r="F4" s="10" t="s">
        <v>33</v>
      </c>
      <c r="G4" s="10"/>
    </row>
    <row r="5" spans="1:7" x14ac:dyDescent="0.25">
      <c r="A5" s="9" t="s">
        <v>495</v>
      </c>
      <c r="B5" s="9" t="s">
        <v>488</v>
      </c>
      <c r="C5" s="9" t="s">
        <v>496</v>
      </c>
      <c r="D5" s="9" t="s">
        <v>497</v>
      </c>
      <c r="E5" s="9" t="s">
        <v>26</v>
      </c>
      <c r="F5" s="10" t="s">
        <v>33</v>
      </c>
      <c r="G5" s="10"/>
    </row>
    <row r="6" spans="1:7" x14ac:dyDescent="0.25">
      <c r="A6" s="9" t="s">
        <v>498</v>
      </c>
      <c r="B6" s="9" t="s">
        <v>488</v>
      </c>
      <c r="C6" s="9" t="s">
        <v>499</v>
      </c>
      <c r="D6" s="9" t="s">
        <v>500</v>
      </c>
      <c r="E6" s="9" t="s">
        <v>26</v>
      </c>
      <c r="F6" s="10" t="s">
        <v>33</v>
      </c>
      <c r="G6" s="10"/>
    </row>
    <row r="7" spans="1:7" x14ac:dyDescent="0.25">
      <c r="A7" s="9" t="s">
        <v>501</v>
      </c>
      <c r="B7" s="9" t="s">
        <v>492</v>
      </c>
      <c r="C7" s="9" t="s">
        <v>502</v>
      </c>
      <c r="D7" s="9" t="s">
        <v>503</v>
      </c>
      <c r="E7" s="9" t="s">
        <v>26</v>
      </c>
      <c r="F7" s="10" t="s">
        <v>33</v>
      </c>
      <c r="G7" s="10"/>
    </row>
    <row r="8" spans="1:7" x14ac:dyDescent="0.25">
      <c r="A8" s="9" t="s">
        <v>504</v>
      </c>
      <c r="B8" s="9" t="s">
        <v>492</v>
      </c>
      <c r="C8" s="9" t="s">
        <v>505</v>
      </c>
      <c r="D8" s="9" t="s">
        <v>506</v>
      </c>
      <c r="E8" s="9" t="s">
        <v>26</v>
      </c>
      <c r="F8" s="10" t="s">
        <v>33</v>
      </c>
      <c r="G8" s="10"/>
    </row>
    <row r="9" spans="1:7" x14ac:dyDescent="0.25">
      <c r="A9" s="9" t="s">
        <v>507</v>
      </c>
      <c r="B9" s="9" t="s">
        <v>508</v>
      </c>
      <c r="C9" s="9" t="s">
        <v>509</v>
      </c>
      <c r="D9" s="9" t="s">
        <v>510</v>
      </c>
      <c r="E9" s="9" t="s">
        <v>26</v>
      </c>
      <c r="F9" s="10" t="s">
        <v>33</v>
      </c>
      <c r="G9" s="10"/>
    </row>
    <row r="10" spans="1:7" x14ac:dyDescent="0.25">
      <c r="A10" s="9" t="s">
        <v>511</v>
      </c>
      <c r="B10" s="9" t="s">
        <v>488</v>
      </c>
      <c r="C10" s="9" t="s">
        <v>512</v>
      </c>
      <c r="D10" s="9" t="s">
        <v>513</v>
      </c>
      <c r="E10" s="9" t="s">
        <v>26</v>
      </c>
      <c r="F10" s="10" t="s">
        <v>33</v>
      </c>
      <c r="G10" s="10"/>
    </row>
    <row r="11" spans="1:7" x14ac:dyDescent="0.25">
      <c r="A11" s="9" t="s">
        <v>514</v>
      </c>
      <c r="B11" s="9" t="s">
        <v>492</v>
      </c>
      <c r="C11" s="9" t="s">
        <v>515</v>
      </c>
      <c r="D11" s="9" t="s">
        <v>516</v>
      </c>
      <c r="E11" s="9" t="s">
        <v>26</v>
      </c>
      <c r="F11" s="10" t="s">
        <v>33</v>
      </c>
      <c r="G11" s="10"/>
    </row>
  </sheetData>
  <autoFilter ref="A1:G11" xr:uid="{00000000-0009-0000-0000-000005000000}"/>
  <conditionalFormatting sqref="A2:E11">
    <cfRule type="expression" dxfId="0" priority="1">
      <formula>$E2="Există"</formula>
    </cfRule>
  </conditionalFormatting>
  <dataValidations count="1">
    <dataValidation type="list" allowBlank="1" sqref="F2:F11" xr:uid="{00000000-0002-0000-0500-000000000000}">
      <formula1>"DA,NU,MODIFIC,DE DISCUTAT"</formula1>
    </dataValidation>
  </dataValidation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13"/>
  <sheetViews>
    <sheetView tabSelected="1" workbookViewId="0">
      <pane xSplit="2" ySplit="1" topLeftCell="C2" activePane="bottomRight" state="frozen"/>
      <selection pane="topRight"/>
      <selection pane="bottomLeft"/>
      <selection pane="bottomRight" activeCell="C21" sqref="C21"/>
    </sheetView>
  </sheetViews>
  <sheetFormatPr defaultRowHeight="15" x14ac:dyDescent="0.25"/>
  <cols>
    <col min="1" max="1" width="20" customWidth="1"/>
    <col min="2" max="2" width="18" customWidth="1"/>
    <col min="3" max="3" width="70" customWidth="1"/>
    <col min="4" max="4" width="36" customWidth="1"/>
    <col min="5" max="5" width="14" customWidth="1"/>
    <col min="6" max="6" width="40" customWidth="1"/>
  </cols>
  <sheetData>
    <row r="1" spans="1:6" ht="30" customHeight="1" x14ac:dyDescent="0.25">
      <c r="A1" s="14" t="s">
        <v>41</v>
      </c>
      <c r="B1" s="14" t="s">
        <v>517</v>
      </c>
      <c r="C1" s="14" t="s">
        <v>518</v>
      </c>
      <c r="D1" s="14" t="s">
        <v>519</v>
      </c>
      <c r="E1" s="14" t="s">
        <v>46</v>
      </c>
      <c r="F1" s="14" t="s">
        <v>47</v>
      </c>
    </row>
    <row r="2" spans="1:6" ht="202.5" customHeight="1" x14ac:dyDescent="0.25">
      <c r="A2" s="21" t="s">
        <v>571</v>
      </c>
      <c r="B2" s="21"/>
      <c r="C2" s="21"/>
      <c r="D2" s="21"/>
      <c r="E2" s="21"/>
      <c r="F2" s="21"/>
    </row>
    <row r="3" spans="1:6" ht="30" customHeight="1" x14ac:dyDescent="0.25"/>
    <row r="4" spans="1:6" x14ac:dyDescent="0.25">
      <c r="A4" s="9" t="s">
        <v>520</v>
      </c>
      <c r="B4" s="9" t="s">
        <v>39</v>
      </c>
      <c r="C4" s="13" t="s">
        <v>572</v>
      </c>
      <c r="D4" s="9" t="s">
        <v>521</v>
      </c>
      <c r="E4" s="10" t="s">
        <v>33</v>
      </c>
      <c r="F4" s="10"/>
    </row>
    <row r="5" spans="1:6" x14ac:dyDescent="0.25">
      <c r="A5" s="9" t="s">
        <v>522</v>
      </c>
      <c r="B5" s="9" t="s">
        <v>39</v>
      </c>
      <c r="C5" s="9" t="s">
        <v>523</v>
      </c>
      <c r="D5" s="9" t="s">
        <v>524</v>
      </c>
      <c r="E5" s="10" t="s">
        <v>33</v>
      </c>
      <c r="F5" s="10"/>
    </row>
    <row r="6" spans="1:6" ht="25.5" x14ac:dyDescent="0.25">
      <c r="A6" s="9" t="s">
        <v>525</v>
      </c>
      <c r="B6" s="9" t="s">
        <v>39</v>
      </c>
      <c r="C6" s="9" t="s">
        <v>526</v>
      </c>
      <c r="D6" s="9" t="s">
        <v>524</v>
      </c>
      <c r="E6" s="10" t="s">
        <v>35</v>
      </c>
      <c r="F6" s="12" t="s">
        <v>573</v>
      </c>
    </row>
    <row r="7" spans="1:6" ht="25.5" x14ac:dyDescent="0.25">
      <c r="A7" s="9" t="s">
        <v>527</v>
      </c>
      <c r="B7" s="9" t="s">
        <v>39</v>
      </c>
      <c r="C7" s="13" t="s">
        <v>574</v>
      </c>
      <c r="D7" s="9" t="s">
        <v>528</v>
      </c>
      <c r="E7" s="10" t="s">
        <v>33</v>
      </c>
      <c r="F7" s="10"/>
    </row>
    <row r="8" spans="1:6" x14ac:dyDescent="0.25">
      <c r="A8" s="9" t="s">
        <v>529</v>
      </c>
      <c r="B8" s="9" t="s">
        <v>530</v>
      </c>
      <c r="C8" s="9" t="s">
        <v>531</v>
      </c>
      <c r="D8" s="9" t="s">
        <v>524</v>
      </c>
      <c r="E8" s="10" t="s">
        <v>33</v>
      </c>
      <c r="F8" s="10"/>
    </row>
    <row r="9" spans="1:6" x14ac:dyDescent="0.25">
      <c r="A9" s="9" t="s">
        <v>532</v>
      </c>
      <c r="B9" s="9" t="s">
        <v>530</v>
      </c>
      <c r="C9" s="9" t="s">
        <v>533</v>
      </c>
      <c r="D9" s="9" t="s">
        <v>524</v>
      </c>
      <c r="E9" s="10" t="s">
        <v>34</v>
      </c>
      <c r="F9" s="10"/>
    </row>
    <row r="10" spans="1:6" x14ac:dyDescent="0.25">
      <c r="A10" s="9" t="s">
        <v>534</v>
      </c>
      <c r="B10" s="9" t="s">
        <v>530</v>
      </c>
      <c r="C10" s="9" t="s">
        <v>535</v>
      </c>
      <c r="D10" s="9" t="s">
        <v>524</v>
      </c>
      <c r="E10" s="10" t="s">
        <v>33</v>
      </c>
      <c r="F10" s="10"/>
    </row>
    <row r="11" spans="1:6" x14ac:dyDescent="0.25">
      <c r="A11" s="9" t="s">
        <v>536</v>
      </c>
      <c r="B11" s="9" t="s">
        <v>530</v>
      </c>
      <c r="C11" s="9" t="s">
        <v>537</v>
      </c>
      <c r="D11" s="9" t="s">
        <v>524</v>
      </c>
      <c r="E11" s="10" t="s">
        <v>33</v>
      </c>
      <c r="F11" s="10"/>
    </row>
    <row r="12" spans="1:6" ht="25.5" x14ac:dyDescent="0.25">
      <c r="A12" s="9" t="s">
        <v>538</v>
      </c>
      <c r="B12" s="9" t="s">
        <v>539</v>
      </c>
      <c r="C12" s="13" t="s">
        <v>575</v>
      </c>
      <c r="D12" s="9" t="s">
        <v>524</v>
      </c>
      <c r="E12" s="10" t="s">
        <v>33</v>
      </c>
      <c r="F12" s="10"/>
    </row>
    <row r="13" spans="1:6" x14ac:dyDescent="0.25">
      <c r="A13" s="9" t="s">
        <v>540</v>
      </c>
      <c r="B13" s="9" t="s">
        <v>539</v>
      </c>
      <c r="C13" s="9" t="s">
        <v>541</v>
      </c>
      <c r="D13" s="9" t="s">
        <v>524</v>
      </c>
      <c r="E13" s="10" t="s">
        <v>34</v>
      </c>
      <c r="F13" s="10"/>
    </row>
  </sheetData>
  <autoFilter ref="A1:F13" xr:uid="{00000000-0009-0000-0000-000006000000}"/>
  <mergeCells count="1">
    <mergeCell ref="A2:F2"/>
  </mergeCells>
  <dataValidations count="1">
    <dataValidation type="list" allowBlank="1" sqref="E4:E13" xr:uid="{00000000-0002-0000-0600-000000000000}">
      <formula1>"DA,NU,MODIFIC,DE DISCUTAT"</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Citeste-ma</vt:lpstr>
      <vt:lpstr>Sumar</vt:lpstr>
      <vt:lpstr>Upgrades</vt:lpstr>
      <vt:lpstr>Relics</vt:lpstr>
      <vt:lpstr>Kata</vt:lpstr>
      <vt:lpstr>Arena_Omens</vt:lpstr>
      <vt:lpstr>Corruption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Robert Marin</cp:lastModifiedBy>
  <dcterms:created xsi:type="dcterms:W3CDTF">2026-10-08T20:06:06Z</dcterms:created>
  <dcterms:modified xsi:type="dcterms:W3CDTF">2026-10-08T22:09:42Z</dcterms:modified>
</cp:coreProperties>
</file>